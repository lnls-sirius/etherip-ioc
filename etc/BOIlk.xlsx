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eri.santos\Documents\"/>
    </mc:Choice>
  </mc:AlternateContent>
  <xr:revisionPtr revIDLastSave="0" documentId="8_{4A5B2241-8CAB-4B02-8E4F-0CBF96679B9D}" xr6:coauthVersionLast="45" xr6:coauthVersionMax="45" xr10:uidLastSave="{00000000-0000-0000-0000-000000000000}"/>
  <bookViews>
    <workbookView xWindow="20370" yWindow="-3300" windowWidth="29040" windowHeight="15990" firstSheet="2" activeTab="2" xr2:uid="{0AE0F94C-E51D-461C-83D1-A0E4C349EF9F}"/>
  </bookViews>
  <sheets>
    <sheet name="Interlock" sheetId="1" r:id="rId1"/>
    <sheet name="Transmission Line" sheetId="2" r:id="rId2"/>
    <sheet name="SSAmp Tower" sheetId="3" r:id="rId3"/>
    <sheet name="LLRF" sheetId="5" r:id="rId4"/>
    <sheet name="Petra 5" sheetId="4" r:id="rId5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" i="5" l="1"/>
  <c r="O9" i="5"/>
  <c r="O6" i="5"/>
  <c r="O5" i="5"/>
  <c r="K3" i="5" l="1"/>
  <c r="O3" i="5" s="1"/>
  <c r="K4" i="5"/>
  <c r="K5" i="5"/>
  <c r="K6" i="5"/>
  <c r="K7" i="5"/>
  <c r="K8" i="5"/>
  <c r="K9" i="5"/>
  <c r="K10" i="5"/>
  <c r="K11" i="5"/>
  <c r="K12" i="5"/>
  <c r="K2" i="5"/>
  <c r="O2" i="5" s="1"/>
  <c r="K2" i="4"/>
  <c r="O2" i="4" s="1"/>
  <c r="J3" i="5"/>
  <c r="J4" i="5"/>
  <c r="J5" i="5"/>
  <c r="J6" i="5"/>
  <c r="J7" i="5"/>
  <c r="J8" i="5"/>
  <c r="J9" i="5"/>
  <c r="J10" i="5"/>
  <c r="J11" i="5"/>
  <c r="J12" i="5"/>
  <c r="J2" i="5"/>
  <c r="J2" i="4"/>
  <c r="K3" i="4"/>
  <c r="O3" i="4" s="1"/>
  <c r="K4" i="4"/>
  <c r="O4" i="4" s="1"/>
  <c r="K5" i="4"/>
  <c r="O5" i="4" s="1"/>
  <c r="K6" i="4"/>
  <c r="O6" i="4" s="1"/>
  <c r="K7" i="4"/>
  <c r="O7" i="4" s="1"/>
  <c r="K8" i="4"/>
  <c r="O8" i="4" s="1"/>
  <c r="K9" i="4"/>
  <c r="O9" i="4" s="1"/>
  <c r="K10" i="4"/>
  <c r="O10" i="4" s="1"/>
  <c r="K11" i="4"/>
  <c r="O11" i="4" s="1"/>
  <c r="K12" i="4"/>
  <c r="O12" i="4" s="1"/>
  <c r="K13" i="4"/>
  <c r="O13" i="4" s="1"/>
  <c r="K14" i="4"/>
  <c r="O14" i="4" s="1"/>
  <c r="K15" i="4"/>
  <c r="O15" i="4" s="1"/>
  <c r="K16" i="4"/>
  <c r="O16" i="4" s="1"/>
  <c r="K17" i="4"/>
  <c r="O17" i="4" s="1"/>
  <c r="K18" i="4"/>
  <c r="O18" i="4" s="1"/>
  <c r="K19" i="4"/>
  <c r="O19" i="4" s="1"/>
  <c r="K20" i="4"/>
  <c r="O20" i="4" s="1"/>
  <c r="K21" i="4"/>
  <c r="O21" i="4" s="1"/>
  <c r="K22" i="4"/>
  <c r="O22" i="4" s="1"/>
  <c r="K23" i="4"/>
  <c r="O23" i="4" s="1"/>
  <c r="K24" i="4"/>
  <c r="O24" i="4" s="1"/>
  <c r="K25" i="4"/>
  <c r="O25" i="4" s="1"/>
  <c r="K26" i="4"/>
  <c r="O26" i="4" s="1"/>
  <c r="K27" i="4"/>
  <c r="O27" i="4" s="1"/>
  <c r="K28" i="4"/>
  <c r="O28" i="4" s="1"/>
  <c r="K29" i="4"/>
  <c r="O29" i="4" s="1"/>
  <c r="K30" i="4"/>
  <c r="O30" i="4" s="1"/>
  <c r="K31" i="4"/>
  <c r="O31" i="4" s="1"/>
  <c r="K32" i="4"/>
  <c r="O32" i="4" s="1"/>
  <c r="K33" i="4"/>
  <c r="O33" i="4" s="1"/>
  <c r="K34" i="4"/>
  <c r="O34" i="4" s="1"/>
  <c r="K35" i="4"/>
  <c r="O35" i="4" s="1"/>
  <c r="K36" i="4"/>
  <c r="O36" i="4" s="1"/>
  <c r="K37" i="4"/>
  <c r="O37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K15" i="3"/>
  <c r="O15" i="3" s="1"/>
  <c r="K16" i="3"/>
  <c r="O16" i="3" s="1"/>
  <c r="K17" i="3"/>
  <c r="O17" i="3" s="1"/>
  <c r="K18" i="3"/>
  <c r="O18" i="3" s="1"/>
  <c r="K19" i="3"/>
  <c r="O19" i="3" s="1"/>
  <c r="K20" i="3"/>
  <c r="O20" i="3" s="1"/>
  <c r="K21" i="3"/>
  <c r="O21" i="3" s="1"/>
  <c r="K22" i="3"/>
  <c r="O22" i="3" s="1"/>
  <c r="K23" i="3"/>
  <c r="O23" i="3" s="1"/>
  <c r="K24" i="3"/>
  <c r="O24" i="3" s="1"/>
  <c r="K25" i="3"/>
  <c r="O25" i="3" s="1"/>
  <c r="K26" i="3"/>
  <c r="O26" i="3" s="1"/>
  <c r="K27" i="3"/>
  <c r="O27" i="3" s="1"/>
  <c r="K28" i="3"/>
  <c r="O28" i="3" s="1"/>
  <c r="K29" i="3"/>
  <c r="O29" i="3" s="1"/>
  <c r="K30" i="3"/>
  <c r="O30" i="3" s="1"/>
  <c r="K31" i="3"/>
  <c r="O31" i="3" s="1"/>
  <c r="K32" i="3"/>
  <c r="O32" i="3" s="1"/>
  <c r="K33" i="3"/>
  <c r="O33" i="3" s="1"/>
  <c r="K34" i="3"/>
  <c r="O34" i="3" s="1"/>
  <c r="K35" i="3"/>
  <c r="O35" i="3" s="1"/>
  <c r="K36" i="3"/>
  <c r="O36" i="3" s="1"/>
  <c r="K37" i="3"/>
  <c r="O37" i="3" s="1"/>
  <c r="K38" i="3"/>
  <c r="O38" i="3" s="1"/>
  <c r="K14" i="3"/>
  <c r="O14" i="3" s="1"/>
  <c r="J14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K13" i="3"/>
  <c r="O13" i="3" s="1"/>
  <c r="K12" i="3"/>
  <c r="O12" i="3" s="1"/>
  <c r="K11" i="3"/>
  <c r="O11" i="3" s="1"/>
  <c r="K10" i="3"/>
  <c r="O10" i="3" s="1"/>
  <c r="K9" i="3"/>
  <c r="O9" i="3" s="1"/>
  <c r="K8" i="3"/>
  <c r="O8" i="3" s="1"/>
  <c r="K7" i="3"/>
  <c r="O7" i="3" s="1"/>
  <c r="K6" i="3"/>
  <c r="O6" i="3" s="1"/>
  <c r="K5" i="3"/>
  <c r="O5" i="3" s="1"/>
  <c r="K4" i="3"/>
  <c r="O4" i="3" s="1"/>
  <c r="K3" i="3"/>
  <c r="O3" i="3" s="1"/>
  <c r="K2" i="3"/>
  <c r="O2" i="3" s="1"/>
  <c r="J15" i="3"/>
  <c r="J13" i="3"/>
  <c r="J12" i="3"/>
  <c r="J11" i="3"/>
  <c r="J10" i="3"/>
  <c r="J9" i="3"/>
  <c r="J8" i="3"/>
  <c r="J7" i="3"/>
  <c r="J6" i="3"/>
  <c r="J5" i="3"/>
  <c r="J4" i="3"/>
  <c r="J3" i="3"/>
  <c r="J2" i="3"/>
  <c r="O3" i="2"/>
  <c r="O4" i="2"/>
  <c r="O5" i="2"/>
  <c r="O6" i="2"/>
  <c r="O7" i="2"/>
  <c r="O8" i="2"/>
  <c r="O9" i="2"/>
  <c r="O10" i="2"/>
  <c r="O13" i="2"/>
  <c r="O14" i="2"/>
  <c r="O15" i="2"/>
  <c r="O16" i="2"/>
  <c r="K4" i="2"/>
  <c r="K5" i="2"/>
  <c r="K6" i="2"/>
  <c r="K7" i="2"/>
  <c r="K8" i="2"/>
  <c r="K9" i="2"/>
  <c r="K10" i="2"/>
  <c r="K11" i="2"/>
  <c r="O11" i="2" s="1"/>
  <c r="K12" i="2"/>
  <c r="O12" i="2" s="1"/>
  <c r="K13" i="2"/>
  <c r="K14" i="2"/>
  <c r="K15" i="2"/>
  <c r="K16" i="2"/>
  <c r="K2" i="2"/>
  <c r="O2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J2" i="1"/>
  <c r="K4" i="1"/>
  <c r="O4" i="1" s="1"/>
  <c r="K5" i="1"/>
  <c r="O5" i="1" s="1"/>
  <c r="K6" i="1"/>
  <c r="O6" i="1" s="1"/>
  <c r="K3" i="1"/>
  <c r="O3" i="1" s="1"/>
  <c r="K2" i="1"/>
  <c r="O2" i="1" s="1"/>
  <c r="J3" i="1"/>
  <c r="J4" i="1"/>
  <c r="J5" i="1"/>
  <c r="J6" i="1"/>
</calcChain>
</file>

<file path=xl/sharedStrings.xml><?xml version="1.0" encoding="utf-8"?>
<sst xmlns="http://schemas.openxmlformats.org/spreadsheetml/2006/main" count="1248" uniqueCount="231">
  <si>
    <t>Nº</t>
  </si>
  <si>
    <t>Description</t>
  </si>
  <si>
    <t>SEC</t>
  </si>
  <si>
    <t>SUB</t>
  </si>
  <si>
    <t>DIS</t>
  </si>
  <si>
    <t>DEV</t>
  </si>
  <si>
    <t>IDX</t>
  </si>
  <si>
    <t>PROP</t>
  </si>
  <si>
    <t>Type</t>
  </si>
  <si>
    <t>NAME</t>
  </si>
  <si>
    <t>RS Logic</t>
  </si>
  <si>
    <t>Data Type</t>
  </si>
  <si>
    <t>In/Out</t>
  </si>
  <si>
    <t>EGU</t>
  </si>
  <si>
    <t>TAG</t>
  </si>
  <si>
    <t>Scan</t>
  </si>
  <si>
    <t>Prec</t>
  </si>
  <si>
    <t>Interlock Sirius</t>
  </si>
  <si>
    <t>BO</t>
  </si>
  <si>
    <t>05D</t>
  </si>
  <si>
    <t>RF</t>
  </si>
  <si>
    <t>Intlk</t>
  </si>
  <si>
    <t>-</t>
  </si>
  <si>
    <t>Mon</t>
  </si>
  <si>
    <t>Digital</t>
  </si>
  <si>
    <t>Input</t>
  </si>
  <si>
    <t>.1</t>
  </si>
  <si>
    <t>Sinal de erro do CLP para o LLRF</t>
  </si>
  <si>
    <t>LLRF</t>
  </si>
  <si>
    <t>Sinal SSA Ligado para LLRF</t>
  </si>
  <si>
    <t>SSAOn</t>
  </si>
  <si>
    <t>Emergencia sistema de interlock</t>
  </si>
  <si>
    <t>EStop</t>
  </si>
  <si>
    <t xml:space="preserve">Reset de Falhas </t>
  </si>
  <si>
    <t>Reset</t>
  </si>
  <si>
    <t>Sel</t>
  </si>
  <si>
    <t>Control</t>
  </si>
  <si>
    <t xml:space="preserve">Detector de Arco </t>
  </si>
  <si>
    <t>RA</t>
  </si>
  <si>
    <t>TL</t>
  </si>
  <si>
    <t>Circulator</t>
  </si>
  <si>
    <t>Arc</t>
  </si>
  <si>
    <t>Detector de Arco Sistema A Analogico</t>
  </si>
  <si>
    <t>RaBO02</t>
  </si>
  <si>
    <t>ArcDetec</t>
  </si>
  <si>
    <t>Circ</t>
  </si>
  <si>
    <t>Analog</t>
  </si>
  <si>
    <t>N/A</t>
  </si>
  <si>
    <t>Teste detector de Arco</t>
  </si>
  <si>
    <t>Test</t>
  </si>
  <si>
    <t>Leitura Teste Detector de Arco</t>
  </si>
  <si>
    <t>Sts</t>
  </si>
  <si>
    <t>Sistema de Interlock circulador operacional</t>
  </si>
  <si>
    <t>IntlkOp</t>
  </si>
  <si>
    <t>Vazão Circulador - Via Skid</t>
  </si>
  <si>
    <t>FlwRt</t>
  </si>
  <si>
    <t xml:space="preserve">Bobinas do circulador </t>
  </si>
  <si>
    <t>Temp. do Circulador Abaixo do Set</t>
  </si>
  <si>
    <t>TinDown</t>
  </si>
  <si>
    <t>Temp. do Circulador Acima do Set</t>
  </si>
  <si>
    <t>TinUp</t>
  </si>
  <si>
    <t>Drift de Temp muito Alto</t>
  </si>
  <si>
    <t>TDrift</t>
  </si>
  <si>
    <t>Temp. Ambiente Abaixo do Set</t>
  </si>
  <si>
    <t>TEnv</t>
  </si>
  <si>
    <t>Vazão Carga 70kW</t>
  </si>
  <si>
    <t>Load</t>
  </si>
  <si>
    <t>Interlock geral Circulador</t>
  </si>
  <si>
    <t>Interlock geral Linha de Transmissao</t>
  </si>
  <si>
    <t>TrLine</t>
  </si>
  <si>
    <t>Reset Detector de Arco</t>
  </si>
  <si>
    <t>Output</t>
  </si>
  <si>
    <t>Monitoramento 300Vdc habilitado</t>
  </si>
  <si>
    <t>ToBO</t>
  </si>
  <si>
    <t>ACDCPanel</t>
  </si>
  <si>
    <t>300VdcEnbl</t>
  </si>
  <si>
    <t>Desliga 300VDC</t>
  </si>
  <si>
    <t>300VdcDsbl</t>
  </si>
  <si>
    <t>Liga 300 VDC</t>
  </si>
  <si>
    <t>Leitura Liga 300 VDC</t>
  </si>
  <si>
    <t>300Vdc</t>
  </si>
  <si>
    <t>Termostato Barra Dissipadora 01</t>
  </si>
  <si>
    <t>HeatSink</t>
  </si>
  <si>
    <t>H01</t>
  </si>
  <si>
    <t>Tms</t>
  </si>
  <si>
    <t>Termostato Barra Dissipadora 02</t>
  </si>
  <si>
    <t>H02</t>
  </si>
  <si>
    <t>Termostato Barra Dissipadora 03</t>
  </si>
  <si>
    <t>H03</t>
  </si>
  <si>
    <t>Termostato Barra Dissipadora 04</t>
  </si>
  <si>
    <t>H04</t>
  </si>
  <si>
    <t>Termostato Barra Dissipadora 05</t>
  </si>
  <si>
    <t>H05</t>
  </si>
  <si>
    <t>Termostato Barra Dissipadora 06</t>
  </si>
  <si>
    <t>H06</t>
  </si>
  <si>
    <t>PT - 100 Barra Dissipadora 01</t>
  </si>
  <si>
    <t>T</t>
  </si>
  <si>
    <t>C</t>
  </si>
  <si>
    <t>.5</t>
  </si>
  <si>
    <t>PT - 100 Barra Dissipadora 02</t>
  </si>
  <si>
    <t>PT - 100 Barra Dissipadora 03</t>
  </si>
  <si>
    <t>PT - 100 Barra Dissipadora 04</t>
  </si>
  <si>
    <t>PT - 100 Barra Dissipadora 05</t>
  </si>
  <si>
    <t>PT - 100 Barra Dissipadora 06</t>
  </si>
  <si>
    <t xml:space="preserve">Interlock temperatura acima do set Barra Dissipadora 01 </t>
  </si>
  <si>
    <t>TUp</t>
  </si>
  <si>
    <t>Interlock temperatura acima do set Barra Dissipadora 02</t>
  </si>
  <si>
    <t>Interlock temperatura acima do set Barra Dissipadora 03</t>
  </si>
  <si>
    <t>Interlock temperatura acima do set Barra Dissipadora 04</t>
  </si>
  <si>
    <t>Interlock temperatura acima do set Barra Dissipadora 05</t>
  </si>
  <si>
    <t>Interlock temperatura acima do set Barra Dissipadora 06</t>
  </si>
  <si>
    <t xml:space="preserve">Interlock temperatura abaixo do set Barra Dissipadora 01 </t>
  </si>
  <si>
    <t>TDown</t>
  </si>
  <si>
    <t>Interlock temperatura abaixo do set Barra Dissipadora 02</t>
  </si>
  <si>
    <t>Interlock temperatura abaixo do set Barra Dissipadora 03</t>
  </si>
  <si>
    <t>Interlock temperatura abaixo do set Barra Dissipadora 04</t>
  </si>
  <si>
    <t>Interlock temperatura abaixo do set Barra Dissipadora 05</t>
  </si>
  <si>
    <t>Interlock temperatura abaixo do set Barra Dissipadora 06</t>
  </si>
  <si>
    <t>Vazão Rotâmetro - via Skid</t>
  </si>
  <si>
    <t>SSAmpTower</t>
  </si>
  <si>
    <t>HdFlwRt</t>
  </si>
  <si>
    <t>Desliga Conversores DC/DC</t>
  </si>
  <si>
    <t>PwrCnvDsbl</t>
  </si>
  <si>
    <t>Liga Conversores DC/DC</t>
  </si>
  <si>
    <t>PwrCnvEnbl</t>
  </si>
  <si>
    <t>Leitura Conversores DC/DC</t>
  </si>
  <si>
    <t>PwrCnv</t>
  </si>
  <si>
    <t>Interlock Geral SSA</t>
  </si>
  <si>
    <t>Corrente AC/DC</t>
  </si>
  <si>
    <t>CurrentVdc</t>
  </si>
  <si>
    <t>Mon_RAW</t>
  </si>
  <si>
    <t>A</t>
  </si>
  <si>
    <t>Tensão AC/DC</t>
  </si>
  <si>
    <t>V</t>
  </si>
  <si>
    <t>Local Remoto Painel AC DC</t>
  </si>
  <si>
    <t>CtrlMode</t>
  </si>
  <si>
    <t>Falha Painel AC DC</t>
  </si>
  <si>
    <t>Habilita Chave Pin Lenta</t>
  </si>
  <si>
    <t>RaBO01</t>
  </si>
  <si>
    <t>LLRFPreAmp</t>
  </si>
  <si>
    <t>PinSwEnbl</t>
  </si>
  <si>
    <t>Desabilita Chave Pin Lenta</t>
  </si>
  <si>
    <t>PinSwDsbl</t>
  </si>
  <si>
    <t>Chave Pin Lenta readback</t>
  </si>
  <si>
    <t>PinSw</t>
  </si>
  <si>
    <t>Chave Pin Lenta</t>
  </si>
  <si>
    <t>LLRF Operacional</t>
  </si>
  <si>
    <t>Status</t>
  </si>
  <si>
    <t>Interlock CLP para o LLRF</t>
  </si>
  <si>
    <t>Termostato Pré-Amp 50 W</t>
  </si>
  <si>
    <t>PT - 100 01 Pré - Amplificador 50 W</t>
  </si>
  <si>
    <t>T1</t>
  </si>
  <si>
    <t>PT - 100 02 Pré - Amplificador 50 W</t>
  </si>
  <si>
    <t>T2</t>
  </si>
  <si>
    <t>Habilita Pré - Amplificador</t>
  </si>
  <si>
    <t>Enbl</t>
  </si>
  <si>
    <t>PT - 100 01 Pré - Amplificador 50 W acima do set</t>
  </si>
  <si>
    <t>T1Up</t>
  </si>
  <si>
    <t>Interlock Geral Petra V</t>
  </si>
  <si>
    <t>P5Cav</t>
  </si>
  <si>
    <t>Petra V Chave de Fluxo 01</t>
  </si>
  <si>
    <t>Hd1FlwRt</t>
  </si>
  <si>
    <t>Petra V Chave de Fluxo 02</t>
  </si>
  <si>
    <t>Hd2FlwRt</t>
  </si>
  <si>
    <t>Petra V Chave de Fluxo 03</t>
  </si>
  <si>
    <t>Hd3FlwRt</t>
  </si>
  <si>
    <t>Petra V PT - 100 Acoplador</t>
  </si>
  <si>
    <t>CoupT</t>
  </si>
  <si>
    <t>Petra V PT - 100 Acoplador abaixo do set</t>
  </si>
  <si>
    <t>CoupTDown</t>
  </si>
  <si>
    <t>Petra V PT - 100 Acoplador acima do set</t>
  </si>
  <si>
    <t>CoupTUp</t>
  </si>
  <si>
    <t xml:space="preserve">Petra V Pt - 100 Cilindro 01 </t>
  </si>
  <si>
    <t>Cylin1T</t>
  </si>
  <si>
    <t>Petra V Pt - 100 Cilindro 02</t>
  </si>
  <si>
    <t>Cylin2T</t>
  </si>
  <si>
    <t>Petra V Pt - 100 Cilindro 03</t>
  </si>
  <si>
    <t>Cylin3T</t>
  </si>
  <si>
    <t>Petra V Pt - 100 Cilindro 04</t>
  </si>
  <si>
    <t>Cylin4T</t>
  </si>
  <si>
    <t>Petra V Pt - 100 Cilindro 05</t>
  </si>
  <si>
    <t>Cylin5T</t>
  </si>
  <si>
    <t>Petra V PT-100 Cilindro 01 abaixo do set</t>
  </si>
  <si>
    <t>Cylin1TDown</t>
  </si>
  <si>
    <t>Petra V PT-100 Cilindro 01 acima do set</t>
  </si>
  <si>
    <t>Cylin1TUp</t>
  </si>
  <si>
    <t>Petra V PT-100 Cilindro 02 abaixo do set</t>
  </si>
  <si>
    <t>Cylin2TDown</t>
  </si>
  <si>
    <t>Petra V PT-100 Cilindro 02 acima do set</t>
  </si>
  <si>
    <t>Cylin2TUp</t>
  </si>
  <si>
    <t>Petra V PT-100 Cilindro 03 abaixo do set</t>
  </si>
  <si>
    <t>Cylin3TDown</t>
  </si>
  <si>
    <t>Petra V PT-100 Cilindro 03 acima do set</t>
  </si>
  <si>
    <t>Cylin3TUp</t>
  </si>
  <si>
    <t>Petra V PT-100 Cilindro 04 abaixo do set</t>
  </si>
  <si>
    <t>Cylin4TDown</t>
  </si>
  <si>
    <t>Petra V PT-100 Cilindro 04 acima do set</t>
  </si>
  <si>
    <t>Cylin4TUp</t>
  </si>
  <si>
    <t>Petra V PT-100 Cilindro 05 abaixo do set</t>
  </si>
  <si>
    <t>Cylin5TDown</t>
  </si>
  <si>
    <t>Petra V PT-100 Cilindro 05 acima do set</t>
  </si>
  <si>
    <t>Cylin5TUp</t>
  </si>
  <si>
    <t>Petra V Sensor de Pressão</t>
  </si>
  <si>
    <t>CoupPressure</t>
  </si>
  <si>
    <t>Petra V Termostato Cilindro 01</t>
  </si>
  <si>
    <t>Cylin1Tms</t>
  </si>
  <si>
    <t>Petra V Termostato Cilindro 02</t>
  </si>
  <si>
    <t>Cylin2Tms</t>
  </si>
  <si>
    <t>Petra V Termostato Cilindro 03</t>
  </si>
  <si>
    <t>Cylin3Tms</t>
  </si>
  <si>
    <t>Petra V Termostato Cilindro 04</t>
  </si>
  <si>
    <t>Cylin4Tms</t>
  </si>
  <si>
    <t>Petra V Termostato Cilindro 05</t>
  </si>
  <si>
    <t>Cylin5Tms</t>
  </si>
  <si>
    <t xml:space="preserve">Petra V Termostato Disco 01 </t>
  </si>
  <si>
    <t>Disc1Tms</t>
  </si>
  <si>
    <t>Petra V Termostato Disco 02</t>
  </si>
  <si>
    <t>Disc2Tms</t>
  </si>
  <si>
    <t>Petra V Termostato Disco 03</t>
  </si>
  <si>
    <t>Disc3Tms</t>
  </si>
  <si>
    <t>Petra V Termostato Disco 04</t>
  </si>
  <si>
    <t>Disc4Tms</t>
  </si>
  <si>
    <t>Petra V Termostato Disco 05</t>
  </si>
  <si>
    <t>Disc5Tms</t>
  </si>
  <si>
    <t>Petra V Termostato Disco 06</t>
  </si>
  <si>
    <t>Disc6Tms</t>
  </si>
  <si>
    <t>Vácuo Petra V</t>
  </si>
  <si>
    <t>Pressure</t>
  </si>
  <si>
    <t>Potência de RF</t>
  </si>
  <si>
    <t>PwrRFIntlk</t>
  </si>
  <si>
    <t>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</si>
</sst>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0" fillId="13" borderId="0" xfId="0" applyFill="1"/>
    <xf numFmtId="0" fontId="1" fillId="2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9" borderId="13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5" xfId="0" applyFont="1" applyFill="1" applyBorder="1" applyAlignment="1">
      <alignment horizontal="center" vertical="center"/>
    </xf>
    <xf numFmtId="0" fontId="0" fillId="9" borderId="10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14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1" borderId="10" xfId="0" applyFont="1" applyFill="1" applyBorder="1" applyAlignment="1">
      <alignment horizontal="center" vertical="center"/>
    </xf>
    <xf numFmtId="0" fontId="0" fillId="0" borderId="0" xfId="0" applyFont="1"/>
    <xf numFmtId="0" fontId="1" fillId="7" borderId="1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11" borderId="6" xfId="0" applyFont="1" applyFill="1" applyBorder="1" applyAlignment="1">
      <alignment horizontal="center" vertical="center"/>
    </xf>
    <xf numFmtId="0" fontId="0" fillId="11" borderId="28" xfId="0" applyFont="1" applyFill="1" applyBorder="1" applyAlignment="1">
      <alignment horizontal="center" vertical="center"/>
    </xf>
    <xf numFmtId="0" fontId="0" fillId="11" borderId="29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</cellXfs>
  <cellStyles count="1">
    <cellStyle name="Normal" xfId="0" builtinId="0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ck">
          <color indexed="64"/>
        </bottom>
      </border>
    </dxf>
    <dxf>
      <border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7D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bottom style="thick">
          <color indexed="64"/>
        </bottom>
      </border>
    </dxf>
    <dxf>
      <border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7D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ck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7D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ck">
          <color indexed="64"/>
        </bottom>
      </border>
    </dxf>
    <dxf>
      <border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7D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ck">
          <color indexed="64"/>
        </bottom>
      </border>
    </dxf>
    <dxf>
      <border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8CBA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7D3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24310-32CE-45CA-B03B-A6EAFBEFEDED}" name="Table1" displayName="Table1" ref="A1:Q6" totalsRowShown="0" headerRowDxfId="100" dataDxfId="99" headerRowBorderDxfId="97" tableBorderDxfId="98">
  <autoFilter ref="A1:Q6" xr:uid="{2F357EC3-7CAA-4FE1-A468-D7F63BFBFF3E}"/>
  <tableColumns count="17">
    <tableColumn id="1" xr3:uid="{B381EABF-8308-4CBF-99AD-FA59A94AC3BA}" name="Nº" dataDxfId="96"/>
    <tableColumn id="2" xr3:uid="{2C8CAA60-CFB9-4CD9-B3A6-C323633CC51E}" name="Description" dataDxfId="95"/>
    <tableColumn id="3" xr3:uid="{E2EC9695-49E9-4EA1-91E3-3962BDD6314B}" name="SEC" dataDxfId="94"/>
    <tableColumn id="4" xr3:uid="{78571D06-FD5B-43A6-8A7C-023367EC38AC}" name="SUB" dataDxfId="93"/>
    <tableColumn id="5" xr3:uid="{75BC59F2-E2CA-4488-81FE-6916A74E6B71}" name="DIS" dataDxfId="92"/>
    <tableColumn id="6" xr3:uid="{423C4FBB-029C-4531-95DF-51686621D47F}" name="DEV" dataDxfId="91"/>
    <tableColumn id="7" xr3:uid="{5FA17552-6BE3-4014-9B99-0F107FAD66AC}" name="IDX" dataDxfId="90"/>
    <tableColumn id="8" xr3:uid="{7BF98532-5084-4EC7-AAF8-CDE58750DE8D}" name="PROP" dataDxfId="89"/>
    <tableColumn id="9" xr3:uid="{427FDA58-8E1A-459B-8FF4-68AF14A2FBD3}" name="Type" dataDxfId="88"/>
    <tableColumn id="10" xr3:uid="{D709C306-C4F4-473C-BDAE-1F9602BFA882}" name="NAME" dataDxfId="87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1" xr3:uid="{A9FA542F-9766-420A-AA57-3D73F6BCFBC5}" name="RS Logic" dataDxfId="86">
      <calculatedColumnFormula>IF(G2="-",C2&amp;"_"&amp;D2&amp;"_"&amp;E2&amp;"_"&amp;F2&amp;"_"&amp;H2&amp;""&amp;I2,C2&amp;"_"&amp;D2&amp;"_"&amp;E2&amp;"_"&amp;F2&amp;"_"&amp;G2&amp;"_"&amp;H2&amp;""&amp;I2)</calculatedColumnFormula>
    </tableColumn>
    <tableColumn id="12" xr3:uid="{2AB3D1D9-1A1E-4F03-9895-8A63D0923254}" name="Data Type" dataDxfId="85"/>
    <tableColumn id="13" xr3:uid="{3A9A05E8-16FE-4E46-B938-A69EADE12EC0}" name="In/Out" dataDxfId="84"/>
    <tableColumn id="14" xr3:uid="{33D62E1B-21D5-49E7-BFCE-300B504E7F93}" name="EGU" dataDxfId="83"/>
    <tableColumn id="15" xr3:uid="{B92350D9-4EA1-4C4A-8F91-A3B348BDA021}" name="TAG" dataDxfId="82">
      <calculatedColumnFormula>K2</calculatedColumnFormula>
    </tableColumn>
    <tableColumn id="16" xr3:uid="{D55CB8A0-44BC-4199-8983-4E3606A2B161}" name="Scan" dataDxfId="81"/>
    <tableColumn id="17" xr3:uid="{67FA4515-6A95-4EA9-A7F4-0A9124036679}" name="Prec" dataDxfId="8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92302-DE53-4902-8C1B-6717B5B648F2}" name="Table2" displayName="Table2" ref="A1:Q16" totalsRowShown="0" headerRowDxfId="79" dataDxfId="78" headerRowBorderDxfId="76" tableBorderDxfId="77">
  <autoFilter ref="A1:Q16" xr:uid="{EDBBF81A-ADDE-4BCE-B5A3-EF73876D138E}"/>
  <tableColumns count="17">
    <tableColumn id="1" xr3:uid="{98701DE8-12E6-4BE2-866C-776756A81812}" name="Nº"/>
    <tableColumn id="2" xr3:uid="{E13FF717-5251-46D1-84E9-5A87858954C2}" name="Description" dataDxfId="75"/>
    <tableColumn id="3" xr3:uid="{8FEC375B-68BE-4951-A7CA-787431E23B24}" name="SEC" dataDxfId="74"/>
    <tableColumn id="4" xr3:uid="{28A4C1D8-9F3A-4CE2-BC15-D51D5BD9EC03}" name="SUB" dataDxfId="73"/>
    <tableColumn id="5" xr3:uid="{5E80125E-C0DC-4D4F-8D27-C4C43B7E4371}" name="DIS" dataDxfId="72"/>
    <tableColumn id="6" xr3:uid="{5C04C846-A863-445E-A0E6-8EBBE0657382}" name="DEV" dataDxfId="71"/>
    <tableColumn id="7" xr3:uid="{1F36DCD7-983A-43BB-9C8A-26A77857D18E}" name="IDX"/>
    <tableColumn id="8" xr3:uid="{CF5F612B-DDB6-4C64-A42E-8E88895543DA}" name="PROP" dataDxfId="70"/>
    <tableColumn id="9" xr3:uid="{11961727-13E4-4BCD-AE29-F21FE6A97DFD}" name="Type" dataDxfId="69"/>
    <tableColumn id="10" xr3:uid="{ABB4F618-AED8-42CF-B263-9981AEF1A821}" name="NAME" dataDxfId="68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1" xr3:uid="{9E3C2A37-BE18-4697-8C5E-D42FFAA6DADD}" name="RS Logic" dataDxfId="67">
      <calculatedColumnFormula>IF(G2="-",C2&amp;"_"&amp;D2&amp;"_"&amp;E2&amp;"_"&amp;F2&amp;"_"&amp;H2&amp;""&amp;I2,C2&amp;"_"&amp;D2&amp;"_"&amp;E2&amp;"_"&amp;F2&amp;"_"&amp;G2&amp;"_"&amp;H2&amp;""&amp;I2)</calculatedColumnFormula>
    </tableColumn>
    <tableColumn id="12" xr3:uid="{72015A51-7631-4112-BDB0-9BBE6230B168}" name="Data Type" dataDxfId="66"/>
    <tableColumn id="13" xr3:uid="{CDADACDE-CD86-4116-8EDA-C430A7E10FDA}" name="In/Out" dataDxfId="65"/>
    <tableColumn id="14" xr3:uid="{1E8BC88F-C020-41FD-BB8B-890DC1367D88}" name="EGU" dataDxfId="64"/>
    <tableColumn id="15" xr3:uid="{806D10A6-4C1D-4FE4-8A13-7C7380D00E30}" name="TAG" dataDxfId="63">
      <calculatedColumnFormula>K2</calculatedColumnFormula>
    </tableColumn>
    <tableColumn id="16" xr3:uid="{4DE5EACA-1186-4D0B-BB35-3EBB6984A6CB}" name="Scan" dataDxfId="62"/>
    <tableColumn id="17" xr3:uid="{9D87219A-1133-4A20-9001-518277EA24B4}" name="Prec" dataDxfId="6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78F64-B100-4AC0-B107-1E1DF9BAEC49}" name="Table3" displayName="Table3" ref="A1:Q38" totalsRowShown="0" headerRowDxfId="60" dataDxfId="59" tableBorderDxfId="58">
  <autoFilter ref="A1:Q38" xr:uid="{CF5E8257-1F9D-4976-A7A3-0B0D4F99E3F1}"/>
  <tableColumns count="17">
    <tableColumn id="1" xr3:uid="{BD2E0CF5-E837-4318-9409-AAC4EB450769}" name="Nº" dataDxfId="57"/>
    <tableColumn id="2" xr3:uid="{ADC6ACFF-5244-4C79-9FB4-BEDFF44AF04D}" name="Description" dataDxfId="56"/>
    <tableColumn id="3" xr3:uid="{A3199CCD-B44B-462E-B8EB-BCB60F4AADB1}" name="SEC" dataDxfId="55"/>
    <tableColumn id="4" xr3:uid="{53908093-E1F8-4CAB-A916-6DD9D751A33A}" name="SUB" dataDxfId="54"/>
    <tableColumn id="5" xr3:uid="{7051E860-A4FF-4024-BFD9-A168030FD72C}" name="DIS" dataDxfId="53"/>
    <tableColumn id="6" xr3:uid="{7999D00B-C479-4A03-8775-8517E4203B99}" name="DEV" dataDxfId="52"/>
    <tableColumn id="7" xr3:uid="{3F5CB516-4DF1-4609-A56B-C187F74B0DCB}" name="IDX" dataDxfId="51"/>
    <tableColumn id="8" xr3:uid="{8D7D9A23-F07B-44FC-AB65-014001055EE5}" name="PROP" dataDxfId="50"/>
    <tableColumn id="9" xr3:uid="{A5395F81-DD85-4F66-AE39-F80F2B3F86EF}" name="Type" dataDxfId="49"/>
    <tableColumn id="10" xr3:uid="{9BF3CD4D-7892-46A7-A5C9-8FAA7328AB9F}" name="NAME" dataDxfId="48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1" xr3:uid="{ABDA304E-7499-4DB3-BAE1-E076977BCD7B}" name="RS Logic" dataDxfId="47">
      <calculatedColumnFormula>IF(G2="-",C2&amp;"_"&amp;D2&amp;"_"&amp;E2&amp;"_"&amp;F2&amp;"_"&amp;H2&amp;""&amp;I2,C2&amp;"_"&amp;D2&amp;"_"&amp;E2&amp;"_"&amp;F2&amp;"_"&amp;G2&amp;"_"&amp;H2&amp;""&amp;I2)</calculatedColumnFormula>
    </tableColumn>
    <tableColumn id="12" xr3:uid="{67E6EB57-06E9-4694-A6E1-D4D9042E8374}" name="Data Type" dataDxfId="46"/>
    <tableColumn id="13" xr3:uid="{7CAD5FF7-7F06-4C12-9A4D-66AA3B668471}" name="In/Out" dataDxfId="45"/>
    <tableColumn id="14" xr3:uid="{2A09D9FC-5463-4CE9-A021-0B29C4CA9ACF}" name="EGU" dataDxfId="44"/>
    <tableColumn id="15" xr3:uid="{91F0C1F1-7E0B-4139-97CA-927B520CF627}" name="TAG" dataDxfId="43">
      <calculatedColumnFormula>K2</calculatedColumnFormula>
    </tableColumn>
    <tableColumn id="16" xr3:uid="{985F63BB-04C0-45ED-9FF7-E950695F56EE}" name="Scan" dataDxfId="42"/>
    <tableColumn id="17" xr3:uid="{ACE2DF8D-8EB1-4770-A5C5-8A308DF6CB0C}" name="Prec" dataDxfId="4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387E9C-6DA5-4CA2-82D0-88F2868BEFDE}" name="Table5" displayName="Table5" ref="A1:Q12" totalsRowShown="0" headerRowDxfId="40" headerRowBorderDxfId="38" tableBorderDxfId="39">
  <autoFilter ref="A1:Q12" xr:uid="{A6C685E5-CCDA-4D29-B7D9-EE5EFC209707}"/>
  <tableColumns count="17">
    <tableColumn id="1" xr3:uid="{AB817DEF-D151-4AB5-800C-C34FFBE4525E}" name="Nº" dataDxfId="37"/>
    <tableColumn id="2" xr3:uid="{FF41E8FA-062B-4389-808B-AA66EDFC541E}" name="Description" dataDxfId="36"/>
    <tableColumn id="3" xr3:uid="{E51D62A2-6AC1-470F-A2CB-7C0907EEA8FE}" name="SEC" dataDxfId="35"/>
    <tableColumn id="4" xr3:uid="{B1C1C5B3-303D-4DD8-B701-E703354C93A3}" name="SUB" dataDxfId="34"/>
    <tableColumn id="5" xr3:uid="{966B3914-6219-4EA0-817E-FB4E28B2EBED}" name="DIS" dataDxfId="33"/>
    <tableColumn id="6" xr3:uid="{9222D42C-B526-487D-8D12-9272EA625802}" name="DEV" dataDxfId="32"/>
    <tableColumn id="7" xr3:uid="{56EE42B2-0B3F-46FF-A494-1158562E0DC1}" name="IDX" dataDxfId="31"/>
    <tableColumn id="8" xr3:uid="{64FA24B5-B3C9-4E59-9C21-C0EC5061D746}" name="PROP" dataDxfId="30"/>
    <tableColumn id="9" xr3:uid="{949EBCC0-B557-4A8E-9817-E6D9ACC74C78}" name="Type" dataDxfId="29"/>
    <tableColumn id="10" xr3:uid="{86A2B28C-EBE7-415D-BE65-0F18435C622D}" name="NAME" dataDxfId="28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1" xr3:uid="{C0147EDB-0942-4247-A8A1-E84D3086D0D6}" name="RS Logic" dataDxfId="27">
      <calculatedColumnFormula>IF(G2="-",C2&amp;"_"&amp;D2&amp;"_"&amp;E2&amp;"_"&amp;F2&amp;"_"&amp;H2&amp;""&amp;I2,C2&amp;"_"&amp;D2&amp;"_"&amp;E2&amp;"_"&amp;F2&amp;"_"&amp;G2&amp;"_"&amp;H2&amp;""&amp;I2)</calculatedColumnFormula>
    </tableColumn>
    <tableColumn id="12" xr3:uid="{61FCFE8B-3568-4689-A7E9-D76AD267C0EC}" name="Data Type" dataDxfId="26"/>
    <tableColumn id="13" xr3:uid="{30AC0D7C-2361-4CE4-A482-D5DAF285BE15}" name="In/Out" dataDxfId="25"/>
    <tableColumn id="14" xr3:uid="{9ED65CB3-D876-45F9-A0C2-88EDE1E70702}" name="EGU" dataDxfId="24"/>
    <tableColumn id="15" xr3:uid="{383130B1-CCFF-48C6-88DB-C034E7ACD5AC}" name="TAG" dataDxfId="23"/>
    <tableColumn id="16" xr3:uid="{E11EC4B5-00F8-4774-8048-2943E6C26D00}" name="Scan" dataDxfId="22"/>
    <tableColumn id="17" xr3:uid="{5D6CFB5F-3BFB-459F-B5A9-88CE026A1D59}" name="Prec" dataDxfId="2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4B7DF1-9E46-44DA-9F4B-F3EE9DAC74A7}" name="Table4" displayName="Table4" ref="A1:Q37" totalsRowShown="0" headerRowDxfId="20" dataDxfId="19" headerRowBorderDxfId="17" tableBorderDxfId="18">
  <autoFilter ref="A1:Q37" xr:uid="{46977EDA-96FD-4349-8F0C-09B866BA7EAC}"/>
  <tableColumns count="17">
    <tableColumn id="1" xr3:uid="{3AD4FC2C-1B39-4237-BAF3-7B29295C4C99}" name="Nº" dataDxfId="16"/>
    <tableColumn id="2" xr3:uid="{F91A9455-DA7E-45B0-8EB3-4149D0F63EC4}" name="Description" dataDxfId="15"/>
    <tableColumn id="3" xr3:uid="{D5F0CDE1-F893-4BA5-846A-2BD0E51A24E4}" name="SEC" dataDxfId="14"/>
    <tableColumn id="4" xr3:uid="{22F6FAAA-3683-4C64-828A-83284658F4FD}" name="SUB" dataDxfId="13"/>
    <tableColumn id="5" xr3:uid="{DE91E7A1-95EC-49A0-B75E-6408DD73547F}" name="DIS" dataDxfId="12"/>
    <tableColumn id="6" xr3:uid="{2391305B-53D3-4FC1-8048-90E5CCD95BBD}" name="DEV" dataDxfId="11"/>
    <tableColumn id="7" xr3:uid="{B604DEF0-3843-43A1-A0E4-D3A739CE7F39}" name="IDX" dataDxfId="10"/>
    <tableColumn id="8" xr3:uid="{05C0E521-F2AF-4715-A392-5F3E6B176FC3}" name="PROP" dataDxfId="9"/>
    <tableColumn id="9" xr3:uid="{D759DCBD-D07D-4F64-8F08-D9B209B52EDC}" name="Type" dataDxfId="8"/>
    <tableColumn id="10" xr3:uid="{F3C7D1BE-CC62-4781-B059-1178213DD1B8}" name="NAME" dataDxfId="7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1" xr3:uid="{B2A9DC98-7A25-408F-A499-D00BAD1C85A3}" name="RS Logic" dataDxfId="6">
      <calculatedColumnFormula>IF(G2="-",C2&amp;"_"&amp;D2&amp;"_"&amp;E2&amp;"_"&amp;F2&amp;"_"&amp;H2&amp;""&amp;I2,C2&amp;"_"&amp;D2&amp;"_"&amp;E2&amp;"_"&amp;F2&amp;"_"&amp;G2&amp;"_"&amp;H2&amp;""&amp;I2)</calculatedColumnFormula>
    </tableColumn>
    <tableColumn id="12" xr3:uid="{3A8E5C5F-1260-4DB7-86A6-6856EA84555E}" name="Data Type" dataDxfId="5"/>
    <tableColumn id="13" xr3:uid="{5B938201-E01A-4F93-B91A-C78336371E31}" name="In/Out" dataDxfId="4"/>
    <tableColumn id="14" xr3:uid="{88D42A56-EFAE-442C-8427-08732D401247}" name="EGU" dataDxfId="3"/>
    <tableColumn id="15" xr3:uid="{7312549D-1320-4967-8FC0-53BE0E69EFFF}" name="TAG" dataDxfId="2">
      <calculatedColumnFormula>K2</calculatedColumnFormula>
    </tableColumn>
    <tableColumn id="16" xr3:uid="{2772BC49-DF21-4882-8BF1-09E545F109D5}" name="Scan" dataDxfId="1"/>
    <tableColumn id="17" xr3:uid="{1E9FBC57-5F92-4207-8E49-57D8C7B873C0}" name="Prec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ED96-FC9E-46E9-9092-8505503A603D}">
  <dimension ref="A1:Q6"/>
  <sheetViews>
    <sheetView topLeftCell="H1" zoomScaleNormal="100" workbookViewId="0">
      <selection activeCell="I4" sqref="I4"/>
    </sheetView>
  </sheetViews>
  <sheetFormatPr defaultRowHeight="15"/>
  <cols>
    <col min="2" max="2" width="30.42578125" bestFit="1" customWidth="1"/>
    <col min="3" max="9" width="10.7109375" customWidth="1"/>
    <col min="10" max="10" width="30.42578125" bestFit="1" customWidth="1"/>
    <col min="11" max="11" width="31.42578125" bestFit="1" customWidth="1"/>
    <col min="12" max="14" width="15.7109375" customWidth="1"/>
    <col min="15" max="15" width="31.42578125" bestFit="1" customWidth="1"/>
    <col min="16" max="17" width="10.7109375" customWidth="1"/>
  </cols>
  <sheetData>
    <row r="1" spans="1:17" ht="15.75" thickBot="1">
      <c r="A1" s="58" t="s">
        <v>0</v>
      </c>
      <c r="B1" s="59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2" t="s">
        <v>8</v>
      </c>
      <c r="J1" s="63" t="s">
        <v>9</v>
      </c>
      <c r="K1" s="64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6" t="s">
        <v>15</v>
      </c>
      <c r="Q1" s="67" t="s">
        <v>16</v>
      </c>
    </row>
    <row r="2" spans="1:17" ht="15.75" thickTop="1">
      <c r="A2" s="55">
        <v>1</v>
      </c>
      <c r="B2" s="15" t="s">
        <v>17</v>
      </c>
      <c r="C2" s="16" t="s">
        <v>18</v>
      </c>
      <c r="D2" s="17" t="s">
        <v>19</v>
      </c>
      <c r="E2" s="17" t="s">
        <v>20</v>
      </c>
      <c r="F2" s="17" t="s">
        <v>21</v>
      </c>
      <c r="G2" s="17" t="s">
        <v>22</v>
      </c>
      <c r="H2" s="18" t="s">
        <v>18</v>
      </c>
      <c r="I2" s="10" t="s">
        <v>23</v>
      </c>
      <c r="J2" s="11" t="str">
        <f>IF(G2="-",C2&amp;"-"&amp;D2&amp;":"&amp;E2&amp;"-"&amp;F2&amp;":"&amp;H2&amp;"-"&amp;I2,C2&amp;"-"&amp;D2&amp;":"&amp;E2&amp;"-"&amp;F2&amp;"-"&amp;G2&amp;":"&amp;H2&amp;"-"&amp;I2)</f>
        <v>BO-05D:RF-Intlk:BO-Mon</v>
      </c>
      <c r="K2" s="12" t="str">
        <f>IF(G2="-",C2&amp;"_"&amp;D2&amp;"_"&amp;E2&amp;"_"&amp;F2&amp;"_"&amp;H2&amp;""&amp;I2,C2&amp;"_"&amp;D2&amp;"_"&amp;E2&amp;"_"&amp;F2&amp;"_"&amp;G2&amp;"_"&amp;H2&amp;""&amp;I2)</f>
        <v>BO_05D_RF_Intlk_BOMon</v>
      </c>
      <c r="L2" s="13" t="s">
        <v>24</v>
      </c>
      <c r="M2" s="13" t="s">
        <v>25</v>
      </c>
      <c r="N2" s="13"/>
      <c r="O2" s="13" t="str">
        <f>K2</f>
        <v>BO_05D_RF_Intlk_BOMon</v>
      </c>
      <c r="P2" s="14" t="s">
        <v>26</v>
      </c>
      <c r="Q2" s="57"/>
    </row>
    <row r="3" spans="1:17">
      <c r="A3" s="55">
        <v>2</v>
      </c>
      <c r="B3" s="7" t="s">
        <v>27</v>
      </c>
      <c r="C3" s="8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0" t="s">
        <v>28</v>
      </c>
      <c r="I3" s="10" t="s">
        <v>23</v>
      </c>
      <c r="J3" s="11" t="str">
        <f>IF(G3="-",C3&amp;"-"&amp;D3&amp;":"&amp;E3&amp;"-"&amp;F3&amp;":"&amp;H3&amp;"-"&amp;I3,C3&amp;"-"&amp;D3&amp;":"&amp;E3&amp;"-"&amp;F3&amp;"-"&amp;G3&amp;":"&amp;H3&amp;"-"&amp;I3)</f>
        <v>BO-05D:RF-Intlk:LLRF-Mon</v>
      </c>
      <c r="K3" s="12" t="str">
        <f>IF(G3="-",C3&amp;"_"&amp;D3&amp;"_"&amp;E3&amp;"_"&amp;F3&amp;"_"&amp;H3&amp;""&amp;I3,C3&amp;"_"&amp;D3&amp;"_"&amp;E3&amp;"_"&amp;F3&amp;"_"&amp;G3&amp;"_"&amp;H3&amp;""&amp;I3)</f>
        <v>BO_05D_RF_Intlk_LLRFMon</v>
      </c>
      <c r="L3" s="13" t="s">
        <v>24</v>
      </c>
      <c r="M3" s="13" t="s">
        <v>25</v>
      </c>
      <c r="N3" s="13"/>
      <c r="O3" s="13" t="str">
        <f t="shared" ref="O3:O6" si="0">K3</f>
        <v>BO_05D_RF_Intlk_LLRFMon</v>
      </c>
      <c r="P3" s="14" t="s">
        <v>26</v>
      </c>
      <c r="Q3" s="57"/>
    </row>
    <row r="4" spans="1:17">
      <c r="A4" s="55">
        <v>3</v>
      </c>
      <c r="B4" s="7" t="s">
        <v>29</v>
      </c>
      <c r="C4" s="8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10" t="s">
        <v>30</v>
      </c>
      <c r="I4" s="10" t="s">
        <v>23</v>
      </c>
      <c r="J4" s="11" t="str">
        <f>IF(G4="-",C4&amp;"-"&amp;D4&amp;":"&amp;E4&amp;"-"&amp;F4&amp;":"&amp;H4&amp;"-"&amp;I4,C4&amp;"-"&amp;D4&amp;":"&amp;E4&amp;"-"&amp;F4&amp;"-"&amp;G4&amp;":"&amp;H4&amp;"-"&amp;I4)</f>
        <v>BO-05D:RF-Intlk:SSAOn-Mon</v>
      </c>
      <c r="K4" s="12" t="str">
        <f>IF(G4="-",C4&amp;"_"&amp;D4&amp;"_"&amp;E4&amp;"_"&amp;F4&amp;"_"&amp;H4&amp;""&amp;I4,C4&amp;"_"&amp;D4&amp;"_"&amp;E4&amp;"_"&amp;F4&amp;"_"&amp;G4&amp;"_"&amp;H4&amp;""&amp;I4)</f>
        <v>BO_05D_RF_Intlk_SSAOnMon</v>
      </c>
      <c r="L4" s="13" t="s">
        <v>24</v>
      </c>
      <c r="M4" s="13" t="s">
        <v>25</v>
      </c>
      <c r="N4" s="13"/>
      <c r="O4" s="13" t="str">
        <f t="shared" si="0"/>
        <v>BO_05D_RF_Intlk_SSAOnMon</v>
      </c>
      <c r="P4" s="14" t="s">
        <v>26</v>
      </c>
      <c r="Q4" s="57"/>
    </row>
    <row r="5" spans="1:17">
      <c r="A5" s="55">
        <v>4</v>
      </c>
      <c r="B5" s="7" t="s">
        <v>31</v>
      </c>
      <c r="C5" s="8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10" t="s">
        <v>32</v>
      </c>
      <c r="I5" s="10" t="s">
        <v>23</v>
      </c>
      <c r="J5" s="11" t="str">
        <f>IF(G5="-",C5&amp;"-"&amp;D5&amp;":"&amp;E5&amp;"-"&amp;F5&amp;":"&amp;H5&amp;"-"&amp;I5,C5&amp;"-"&amp;D5&amp;":"&amp;E5&amp;"-"&amp;F5&amp;"-"&amp;G5&amp;":"&amp;H5&amp;"-"&amp;I5)</f>
        <v>BO-05D:RF-Intlk:EStop-Mon</v>
      </c>
      <c r="K5" s="12" t="str">
        <f>IF(G5="-",C5&amp;"_"&amp;D5&amp;"_"&amp;E5&amp;"_"&amp;F5&amp;"_"&amp;H5&amp;""&amp;I5,C5&amp;"_"&amp;D5&amp;"_"&amp;E5&amp;"_"&amp;F5&amp;"_"&amp;G5&amp;"_"&amp;H5&amp;""&amp;I5)</f>
        <v>BO_05D_RF_Intlk_EStopMon</v>
      </c>
      <c r="L5" s="13" t="s">
        <v>24</v>
      </c>
      <c r="M5" s="13" t="s">
        <v>25</v>
      </c>
      <c r="N5" s="13"/>
      <c r="O5" s="13" t="str">
        <f t="shared" si="0"/>
        <v>BO_05D_RF_Intlk_EStopMon</v>
      </c>
      <c r="P5" s="14" t="s">
        <v>26</v>
      </c>
      <c r="Q5" s="57"/>
    </row>
    <row r="6" spans="1:17">
      <c r="A6" s="68">
        <v>5</v>
      </c>
      <c r="B6" s="69" t="s">
        <v>33</v>
      </c>
      <c r="C6" s="70" t="s">
        <v>18</v>
      </c>
      <c r="D6" s="71" t="s">
        <v>19</v>
      </c>
      <c r="E6" s="71" t="s">
        <v>20</v>
      </c>
      <c r="F6" s="71" t="s">
        <v>21</v>
      </c>
      <c r="G6" s="71" t="s">
        <v>22</v>
      </c>
      <c r="H6" s="72" t="s">
        <v>34</v>
      </c>
      <c r="I6" s="72" t="s">
        <v>35</v>
      </c>
      <c r="J6" s="73" t="str">
        <f>IF(G6="-",C6&amp;"-"&amp;D6&amp;":"&amp;E6&amp;"-"&amp;F6&amp;":"&amp;H6&amp;"-"&amp;I6,C6&amp;"-"&amp;D6&amp;":"&amp;E6&amp;"-"&amp;F6&amp;"-"&amp;G6&amp;":"&amp;H6&amp;"-"&amp;I6)</f>
        <v>BO-05D:RF-Intlk:Reset-Sel</v>
      </c>
      <c r="K6" s="74" t="str">
        <f>IF(G6="-",C6&amp;"_"&amp;D6&amp;"_"&amp;E6&amp;"_"&amp;F6&amp;"_"&amp;H6&amp;""&amp;I6,C6&amp;"_"&amp;D6&amp;"_"&amp;E6&amp;"_"&amp;F6&amp;"_"&amp;G6&amp;"_"&amp;H6&amp;""&amp;I6)</f>
        <v>BO_05D_RF_Intlk_ResetSel</v>
      </c>
      <c r="L6" s="75" t="s">
        <v>24</v>
      </c>
      <c r="M6" s="75" t="s">
        <v>36</v>
      </c>
      <c r="N6" s="75"/>
      <c r="O6" s="75" t="str">
        <f t="shared" si="0"/>
        <v>BO_05D_RF_Intlk_ResetSel</v>
      </c>
      <c r="P6" s="76" t="s">
        <v>26</v>
      </c>
      <c r="Q6" s="77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3B42-ABB0-4480-B785-94CB22DEE6B9}">
  <dimension ref="A1:Q16"/>
  <sheetViews>
    <sheetView topLeftCell="D1" workbookViewId="0">
      <selection activeCell="H13" sqref="H13"/>
    </sheetView>
  </sheetViews>
  <sheetFormatPr defaultRowHeight="15"/>
  <cols>
    <col min="1" max="1" width="8.5703125" customWidth="1"/>
    <col min="2" max="2" width="40.140625" bestFit="1" customWidth="1"/>
    <col min="3" max="3" width="7" customWidth="1"/>
    <col min="6" max="6" width="9.7109375" bestFit="1" customWidth="1"/>
    <col min="8" max="8" width="13.7109375" bestFit="1" customWidth="1"/>
    <col min="10" max="10" width="38.7109375" bestFit="1" customWidth="1"/>
    <col min="11" max="11" width="39.7109375" bestFit="1" customWidth="1"/>
    <col min="12" max="12" width="12.140625" bestFit="1" customWidth="1"/>
    <col min="13" max="13" width="9.28515625" bestFit="1" customWidth="1"/>
    <col min="14" max="14" width="8" customWidth="1"/>
    <col min="15" max="15" width="39.7109375" bestFit="1" customWidth="1"/>
    <col min="16" max="16" width="7.42578125" bestFit="1" customWidth="1"/>
  </cols>
  <sheetData>
    <row r="1" spans="1:17" ht="15.75" thickBot="1">
      <c r="A1" s="58" t="s">
        <v>0</v>
      </c>
      <c r="B1" s="59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2" t="s">
        <v>7</v>
      </c>
      <c r="I1" s="62" t="s">
        <v>8</v>
      </c>
      <c r="J1" s="63" t="s">
        <v>9</v>
      </c>
      <c r="K1" s="64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6" t="s">
        <v>15</v>
      </c>
      <c r="Q1" s="67" t="s">
        <v>16</v>
      </c>
    </row>
    <row r="2" spans="1:17" ht="15.75" thickTop="1">
      <c r="A2" s="78">
        <v>1</v>
      </c>
      <c r="B2" s="15" t="s">
        <v>37</v>
      </c>
      <c r="C2" s="16" t="s">
        <v>38</v>
      </c>
      <c r="D2" s="9" t="s">
        <v>39</v>
      </c>
      <c r="E2" s="17" t="s">
        <v>20</v>
      </c>
      <c r="F2" s="17" t="s">
        <v>40</v>
      </c>
      <c r="G2" s="17" t="s">
        <v>18</v>
      </c>
      <c r="H2" s="18" t="s">
        <v>41</v>
      </c>
      <c r="I2" s="10" t="s">
        <v>23</v>
      </c>
      <c r="J2" s="11" t="str">
        <f>IF(G2="-",C2&amp;"-"&amp;D2&amp;":"&amp;E2&amp;"-"&amp;F2&amp;":"&amp;H2&amp;"-"&amp;I2,C2&amp;"-"&amp;D2&amp;":"&amp;E2&amp;"-"&amp;F2&amp;"-"&amp;G2&amp;":"&amp;H2&amp;"-"&amp;I2)</f>
        <v>RA-TL:RF-Circulator-BO:Arc-Mon</v>
      </c>
      <c r="K2" s="12" t="str">
        <f>IF(G2="-",C2&amp;"_"&amp;D2&amp;"_"&amp;E2&amp;"_"&amp;F2&amp;"_"&amp;H2&amp;""&amp;I2,C2&amp;"_"&amp;D2&amp;"_"&amp;E2&amp;"_"&amp;F2&amp;"_"&amp;G2&amp;"_"&amp;H2&amp;""&amp;I2)</f>
        <v>RA_TL_RF_Circulator_BO_ArcMon</v>
      </c>
      <c r="L2" s="24" t="s">
        <v>24</v>
      </c>
      <c r="M2" s="24" t="s">
        <v>25</v>
      </c>
      <c r="N2" s="13"/>
      <c r="O2" s="13" t="str">
        <f>K2</f>
        <v>RA_TL_RF_Circulator_BO_ArcMon</v>
      </c>
      <c r="P2" s="14" t="s">
        <v>26</v>
      </c>
      <c r="Q2" s="57"/>
    </row>
    <row r="3" spans="1:17" s="26" customFormat="1">
      <c r="A3" s="25">
        <v>2</v>
      </c>
      <c r="B3" s="20" t="s">
        <v>42</v>
      </c>
      <c r="C3" s="21" t="s">
        <v>38</v>
      </c>
      <c r="D3" s="22" t="s">
        <v>43</v>
      </c>
      <c r="E3" s="22" t="s">
        <v>20</v>
      </c>
      <c r="F3" s="22" t="s">
        <v>44</v>
      </c>
      <c r="G3" s="43" t="s">
        <v>45</v>
      </c>
      <c r="H3" s="23" t="s">
        <v>46</v>
      </c>
      <c r="I3" s="23" t="s">
        <v>23</v>
      </c>
      <c r="J3" s="25" t="s">
        <v>47</v>
      </c>
      <c r="K3" s="21" t="s">
        <v>47</v>
      </c>
      <c r="L3" s="22" t="s">
        <v>47</v>
      </c>
      <c r="M3" s="22" t="s">
        <v>47</v>
      </c>
      <c r="N3" s="22"/>
      <c r="O3" s="22" t="str">
        <f t="shared" ref="O3:O16" si="0">K3</f>
        <v>N/A</v>
      </c>
      <c r="P3" s="23" t="s">
        <v>26</v>
      </c>
      <c r="Q3" s="19"/>
    </row>
    <row r="4" spans="1:17">
      <c r="A4" s="55">
        <v>3</v>
      </c>
      <c r="B4" s="7" t="s">
        <v>48</v>
      </c>
      <c r="C4" s="8" t="s">
        <v>38</v>
      </c>
      <c r="D4" s="9" t="s">
        <v>43</v>
      </c>
      <c r="E4" s="9" t="s">
        <v>20</v>
      </c>
      <c r="F4" s="9" t="s">
        <v>44</v>
      </c>
      <c r="G4" s="17" t="s">
        <v>45</v>
      </c>
      <c r="H4" s="10" t="s">
        <v>49</v>
      </c>
      <c r="I4" s="10" t="s">
        <v>35</v>
      </c>
      <c r="J4" s="11" t="str">
        <f t="shared" ref="J3:J16" si="1">IF(G4="-",C4&amp;"-"&amp;D4&amp;":"&amp;E4&amp;"-"&amp;F4&amp;":"&amp;H4&amp;"-"&amp;I4,C4&amp;"-"&amp;D4&amp;":"&amp;E4&amp;"-"&amp;F4&amp;"-"&amp;G4&amp;":"&amp;H4&amp;"-"&amp;I4)</f>
        <v>RA-RaBO02:RF-ArcDetec-Circ:Test-Sel</v>
      </c>
      <c r="K4" s="12" t="str">
        <f t="shared" ref="K3:K16" si="2">IF(G4="-",C4&amp;"_"&amp;D4&amp;"_"&amp;E4&amp;"_"&amp;F4&amp;"_"&amp;H4&amp;""&amp;I4,C4&amp;"_"&amp;D4&amp;"_"&amp;E4&amp;"_"&amp;F4&amp;"_"&amp;G4&amp;"_"&amp;H4&amp;""&amp;I4)</f>
        <v>RA_RaBO02_RF_ArcDetec_Circ_TestSel</v>
      </c>
      <c r="L4" s="13" t="s">
        <v>24</v>
      </c>
      <c r="M4" s="13" t="s">
        <v>36</v>
      </c>
      <c r="N4" s="13"/>
      <c r="O4" s="13" t="str">
        <f t="shared" si="0"/>
        <v>RA_RaBO02_RF_ArcDetec_Circ_TestSel</v>
      </c>
      <c r="P4" s="14" t="s">
        <v>26</v>
      </c>
      <c r="Q4" s="57"/>
    </row>
    <row r="5" spans="1:17">
      <c r="A5" s="78">
        <v>4</v>
      </c>
      <c r="B5" s="7" t="s">
        <v>50</v>
      </c>
      <c r="C5" s="8" t="s">
        <v>38</v>
      </c>
      <c r="D5" s="9" t="s">
        <v>43</v>
      </c>
      <c r="E5" s="9" t="s">
        <v>20</v>
      </c>
      <c r="F5" s="9" t="s">
        <v>44</v>
      </c>
      <c r="G5" s="17" t="s">
        <v>45</v>
      </c>
      <c r="H5" s="10" t="s">
        <v>49</v>
      </c>
      <c r="I5" s="10" t="s">
        <v>51</v>
      </c>
      <c r="J5" s="11" t="str">
        <f t="shared" si="1"/>
        <v>RA-RaBO02:RF-ArcDetec-Circ:Test-Sts</v>
      </c>
      <c r="K5" s="12" t="str">
        <f t="shared" si="2"/>
        <v>RA_RaBO02_RF_ArcDetec_Circ_TestSts</v>
      </c>
      <c r="L5" s="13" t="s">
        <v>24</v>
      </c>
      <c r="M5" s="13" t="s">
        <v>25</v>
      </c>
      <c r="N5" s="13"/>
      <c r="O5" s="13" t="str">
        <f t="shared" si="0"/>
        <v>RA_RaBO02_RF_ArcDetec_Circ_TestSts</v>
      </c>
      <c r="P5" s="14" t="s">
        <v>26</v>
      </c>
      <c r="Q5" s="57"/>
    </row>
    <row r="6" spans="1:17">
      <c r="A6" s="55">
        <v>5</v>
      </c>
      <c r="B6" s="7" t="s">
        <v>52</v>
      </c>
      <c r="C6" s="8" t="s">
        <v>38</v>
      </c>
      <c r="D6" s="9" t="s">
        <v>39</v>
      </c>
      <c r="E6" s="9" t="s">
        <v>20</v>
      </c>
      <c r="F6" s="9" t="s">
        <v>40</v>
      </c>
      <c r="G6" s="9" t="s">
        <v>18</v>
      </c>
      <c r="H6" s="10" t="s">
        <v>53</v>
      </c>
      <c r="I6" s="10" t="s">
        <v>23</v>
      </c>
      <c r="J6" s="11" t="str">
        <f t="shared" si="1"/>
        <v>RA-TL:RF-Circulator-BO:IntlkOp-Mon</v>
      </c>
      <c r="K6" s="12" t="str">
        <f t="shared" si="2"/>
        <v>RA_TL_RF_Circulator_BO_IntlkOpMon</v>
      </c>
      <c r="L6" s="13" t="s">
        <v>24</v>
      </c>
      <c r="M6" s="13" t="s">
        <v>25</v>
      </c>
      <c r="N6" s="13"/>
      <c r="O6" s="13" t="str">
        <f t="shared" si="0"/>
        <v>RA_TL_RF_Circulator_BO_IntlkOpMon</v>
      </c>
      <c r="P6" s="14" t="s">
        <v>26</v>
      </c>
      <c r="Q6" s="57"/>
    </row>
    <row r="7" spans="1:17">
      <c r="A7" s="78">
        <v>6</v>
      </c>
      <c r="B7" s="7" t="s">
        <v>54</v>
      </c>
      <c r="C7" s="8" t="s">
        <v>38</v>
      </c>
      <c r="D7" s="9" t="s">
        <v>39</v>
      </c>
      <c r="E7" s="9" t="s">
        <v>20</v>
      </c>
      <c r="F7" s="9" t="s">
        <v>40</v>
      </c>
      <c r="G7" s="9" t="s">
        <v>18</v>
      </c>
      <c r="H7" s="10" t="s">
        <v>55</v>
      </c>
      <c r="I7" s="10" t="s">
        <v>23</v>
      </c>
      <c r="J7" s="11" t="str">
        <f t="shared" si="1"/>
        <v>RA-TL:RF-Circulator-BO:FlwRt-Mon</v>
      </c>
      <c r="K7" s="12" t="str">
        <f t="shared" si="2"/>
        <v>RA_TL_RF_Circulator_BO_FlwRtMon</v>
      </c>
      <c r="L7" s="13" t="s">
        <v>24</v>
      </c>
      <c r="M7" s="13" t="s">
        <v>25</v>
      </c>
      <c r="N7" s="13"/>
      <c r="O7" s="13" t="str">
        <f t="shared" si="0"/>
        <v>RA_TL_RF_Circulator_BO_FlwRtMon</v>
      </c>
      <c r="P7" s="14" t="s">
        <v>26</v>
      </c>
      <c r="Q7" s="57"/>
    </row>
    <row r="8" spans="1:17">
      <c r="A8" s="55">
        <v>7</v>
      </c>
      <c r="B8" s="7" t="s">
        <v>56</v>
      </c>
      <c r="C8" s="8" t="s">
        <v>38</v>
      </c>
      <c r="D8" s="9" t="s">
        <v>39</v>
      </c>
      <c r="E8" s="9" t="s">
        <v>20</v>
      </c>
      <c r="F8" s="9" t="s">
        <v>40</v>
      </c>
      <c r="G8" s="9" t="s">
        <v>18</v>
      </c>
      <c r="H8" s="10" t="s">
        <v>51</v>
      </c>
      <c r="I8" s="10" t="s">
        <v>23</v>
      </c>
      <c r="J8" s="11" t="str">
        <f t="shared" si="1"/>
        <v>RA-TL:RF-Circulator-BO:Sts-Mon</v>
      </c>
      <c r="K8" s="12" t="str">
        <f t="shared" si="2"/>
        <v>RA_TL_RF_Circulator_BO_StsMon</v>
      </c>
      <c r="L8" s="13" t="s">
        <v>24</v>
      </c>
      <c r="M8" s="13" t="s">
        <v>25</v>
      </c>
      <c r="N8" s="13"/>
      <c r="O8" s="13" t="str">
        <f t="shared" si="0"/>
        <v>RA_TL_RF_Circulator_BO_StsMon</v>
      </c>
      <c r="P8" s="14" t="s">
        <v>26</v>
      </c>
      <c r="Q8" s="57"/>
    </row>
    <row r="9" spans="1:17">
      <c r="A9" s="78">
        <v>8</v>
      </c>
      <c r="B9" s="7" t="s">
        <v>57</v>
      </c>
      <c r="C9" s="8" t="s">
        <v>38</v>
      </c>
      <c r="D9" s="9" t="s">
        <v>39</v>
      </c>
      <c r="E9" s="9" t="s">
        <v>20</v>
      </c>
      <c r="F9" s="9" t="s">
        <v>40</v>
      </c>
      <c r="G9" s="9" t="s">
        <v>18</v>
      </c>
      <c r="H9" s="10" t="s">
        <v>58</v>
      </c>
      <c r="I9" s="10" t="s">
        <v>23</v>
      </c>
      <c r="J9" s="11" t="str">
        <f t="shared" si="1"/>
        <v>RA-TL:RF-Circulator-BO:TinDown-Mon</v>
      </c>
      <c r="K9" s="12" t="str">
        <f t="shared" si="2"/>
        <v>RA_TL_RF_Circulator_BO_TinDownMon</v>
      </c>
      <c r="L9" s="13" t="s">
        <v>24</v>
      </c>
      <c r="M9" s="13" t="s">
        <v>25</v>
      </c>
      <c r="N9" s="13"/>
      <c r="O9" s="13" t="str">
        <f t="shared" si="0"/>
        <v>RA_TL_RF_Circulator_BO_TinDownMon</v>
      </c>
      <c r="P9" s="14" t="s">
        <v>26</v>
      </c>
      <c r="Q9" s="57"/>
    </row>
    <row r="10" spans="1:17">
      <c r="A10" s="55">
        <v>9</v>
      </c>
      <c r="B10" s="7" t="s">
        <v>59</v>
      </c>
      <c r="C10" s="8" t="s">
        <v>38</v>
      </c>
      <c r="D10" s="9" t="s">
        <v>39</v>
      </c>
      <c r="E10" s="9" t="s">
        <v>20</v>
      </c>
      <c r="F10" s="9" t="s">
        <v>40</v>
      </c>
      <c r="G10" s="9" t="s">
        <v>18</v>
      </c>
      <c r="H10" s="10" t="s">
        <v>60</v>
      </c>
      <c r="I10" s="10" t="s">
        <v>23</v>
      </c>
      <c r="J10" s="11" t="str">
        <f t="shared" si="1"/>
        <v>RA-TL:RF-Circulator-BO:TinUp-Mon</v>
      </c>
      <c r="K10" s="12" t="str">
        <f t="shared" si="2"/>
        <v>RA_TL_RF_Circulator_BO_TinUpMon</v>
      </c>
      <c r="L10" s="13" t="s">
        <v>24</v>
      </c>
      <c r="M10" s="13" t="s">
        <v>25</v>
      </c>
      <c r="N10" s="13"/>
      <c r="O10" s="13" t="str">
        <f t="shared" si="0"/>
        <v>RA_TL_RF_Circulator_BO_TinUpMon</v>
      </c>
      <c r="P10" s="14" t="s">
        <v>26</v>
      </c>
      <c r="Q10" s="57"/>
    </row>
    <row r="11" spans="1:17">
      <c r="A11" s="78">
        <v>10</v>
      </c>
      <c r="B11" s="7" t="s">
        <v>61</v>
      </c>
      <c r="C11" s="8" t="s">
        <v>38</v>
      </c>
      <c r="D11" s="9" t="s">
        <v>39</v>
      </c>
      <c r="E11" s="9" t="s">
        <v>20</v>
      </c>
      <c r="F11" s="9" t="s">
        <v>40</v>
      </c>
      <c r="G11" s="9" t="s">
        <v>18</v>
      </c>
      <c r="H11" s="10" t="s">
        <v>62</v>
      </c>
      <c r="I11" s="10" t="s">
        <v>23</v>
      </c>
      <c r="J11" s="11" t="str">
        <f t="shared" si="1"/>
        <v>RA-TL:RF-Circulator-BO:TDrift-Mon</v>
      </c>
      <c r="K11" s="12" t="str">
        <f t="shared" si="2"/>
        <v>RA_TL_RF_Circulator_BO_TDriftMon</v>
      </c>
      <c r="L11" s="13" t="s">
        <v>24</v>
      </c>
      <c r="M11" s="13" t="s">
        <v>25</v>
      </c>
      <c r="N11" s="13"/>
      <c r="O11" s="13" t="str">
        <f t="shared" si="0"/>
        <v>RA_TL_RF_Circulator_BO_TDriftMon</v>
      </c>
      <c r="P11" s="14" t="s">
        <v>26</v>
      </c>
      <c r="Q11" s="57"/>
    </row>
    <row r="12" spans="1:17">
      <c r="A12" s="55">
        <v>11</v>
      </c>
      <c r="B12" s="7" t="s">
        <v>63</v>
      </c>
      <c r="C12" s="8" t="s">
        <v>38</v>
      </c>
      <c r="D12" s="9" t="s">
        <v>39</v>
      </c>
      <c r="E12" s="9" t="s">
        <v>20</v>
      </c>
      <c r="F12" s="9" t="s">
        <v>40</v>
      </c>
      <c r="G12" s="9" t="s">
        <v>18</v>
      </c>
      <c r="H12" s="10" t="s">
        <v>64</v>
      </c>
      <c r="I12" s="10" t="s">
        <v>23</v>
      </c>
      <c r="J12" s="11" t="str">
        <f t="shared" si="1"/>
        <v>RA-TL:RF-Circulator-BO:TEnv-Mon</v>
      </c>
      <c r="K12" s="12" t="str">
        <f t="shared" si="2"/>
        <v>RA_TL_RF_Circulator_BO_TEnvMon</v>
      </c>
      <c r="L12" s="13" t="s">
        <v>24</v>
      </c>
      <c r="M12" s="13" t="s">
        <v>25</v>
      </c>
      <c r="N12" s="13"/>
      <c r="O12" s="13" t="str">
        <f t="shared" si="0"/>
        <v>RA_TL_RF_Circulator_BO_TEnvMon</v>
      </c>
      <c r="P12" s="14" t="s">
        <v>26</v>
      </c>
      <c r="Q12" s="57"/>
    </row>
    <row r="13" spans="1:17">
      <c r="A13" s="78">
        <v>12</v>
      </c>
      <c r="B13" s="7" t="s">
        <v>65</v>
      </c>
      <c r="C13" s="8" t="s">
        <v>38</v>
      </c>
      <c r="D13" s="9" t="s">
        <v>39</v>
      </c>
      <c r="E13" s="9" t="s">
        <v>20</v>
      </c>
      <c r="F13" s="9" t="s">
        <v>66</v>
      </c>
      <c r="G13" s="9" t="s">
        <v>18</v>
      </c>
      <c r="H13" s="10" t="s">
        <v>55</v>
      </c>
      <c r="I13" s="10" t="s">
        <v>23</v>
      </c>
      <c r="J13" s="11" t="str">
        <f t="shared" si="1"/>
        <v>RA-TL:RF-Load-BO:FlwRt-Mon</v>
      </c>
      <c r="K13" s="12" t="str">
        <f t="shared" si="2"/>
        <v>RA_TL_RF_Load_BO_FlwRtMon</v>
      </c>
      <c r="L13" s="13" t="s">
        <v>24</v>
      </c>
      <c r="M13" s="13" t="s">
        <v>25</v>
      </c>
      <c r="N13" s="13"/>
      <c r="O13" s="13" t="str">
        <f t="shared" si="0"/>
        <v>RA_TL_RF_Load_BO_FlwRtMon</v>
      </c>
      <c r="P13" s="14" t="s">
        <v>26</v>
      </c>
      <c r="Q13" s="57"/>
    </row>
    <row r="14" spans="1:17" s="26" customFormat="1">
      <c r="A14" s="25">
        <v>13</v>
      </c>
      <c r="B14" s="20" t="s">
        <v>67</v>
      </c>
      <c r="C14" s="21" t="s">
        <v>38</v>
      </c>
      <c r="D14" s="22" t="s">
        <v>39</v>
      </c>
      <c r="E14" s="22" t="s">
        <v>20</v>
      </c>
      <c r="F14" s="22" t="s">
        <v>40</v>
      </c>
      <c r="G14" s="22" t="s">
        <v>18</v>
      </c>
      <c r="H14" s="23" t="s">
        <v>51</v>
      </c>
      <c r="I14" s="23" t="s">
        <v>23</v>
      </c>
      <c r="J14" s="25" t="str">
        <f t="shared" si="1"/>
        <v>RA-TL:RF-Circulator-BO:Sts-Mon</v>
      </c>
      <c r="K14" s="21" t="str">
        <f t="shared" si="2"/>
        <v>RA_TL_RF_Circulator_BO_StsMon</v>
      </c>
      <c r="L14" s="22" t="s">
        <v>47</v>
      </c>
      <c r="M14" s="22" t="s">
        <v>47</v>
      </c>
      <c r="N14" s="22"/>
      <c r="O14" s="22" t="str">
        <f t="shared" si="0"/>
        <v>RA_TL_RF_Circulator_BO_StsMon</v>
      </c>
      <c r="P14" s="23" t="s">
        <v>26</v>
      </c>
      <c r="Q14" s="19"/>
    </row>
    <row r="15" spans="1:17">
      <c r="A15" s="78">
        <v>14</v>
      </c>
      <c r="B15" s="7" t="s">
        <v>68</v>
      </c>
      <c r="C15" s="16" t="s">
        <v>38</v>
      </c>
      <c r="D15" s="17" t="s">
        <v>39</v>
      </c>
      <c r="E15" s="17" t="s">
        <v>20</v>
      </c>
      <c r="F15" s="17" t="s">
        <v>69</v>
      </c>
      <c r="G15" s="17" t="s">
        <v>18</v>
      </c>
      <c r="H15" s="18" t="s">
        <v>51</v>
      </c>
      <c r="I15" s="10" t="s">
        <v>23</v>
      </c>
      <c r="J15" s="11" t="str">
        <f t="shared" si="1"/>
        <v>RA-TL:RF-TrLine-BO:Sts-Mon</v>
      </c>
      <c r="K15" s="12" t="str">
        <f t="shared" si="2"/>
        <v>RA_TL_RF_TrLine_BO_StsMon</v>
      </c>
      <c r="L15" s="13" t="s">
        <v>24</v>
      </c>
      <c r="M15" s="13" t="s">
        <v>36</v>
      </c>
      <c r="N15" s="13"/>
      <c r="O15" s="13" t="str">
        <f t="shared" si="0"/>
        <v>RA_TL_RF_TrLine_BO_StsMon</v>
      </c>
      <c r="P15" s="14" t="s">
        <v>26</v>
      </c>
      <c r="Q15" s="57"/>
    </row>
    <row r="16" spans="1:17">
      <c r="A16" s="68">
        <v>15</v>
      </c>
      <c r="B16" s="69" t="s">
        <v>70</v>
      </c>
      <c r="C16" s="70" t="s">
        <v>38</v>
      </c>
      <c r="D16" s="71" t="s">
        <v>43</v>
      </c>
      <c r="E16" s="71" t="s">
        <v>20</v>
      </c>
      <c r="F16" s="71" t="s">
        <v>44</v>
      </c>
      <c r="G16" s="79" t="s">
        <v>45</v>
      </c>
      <c r="H16" s="72" t="s">
        <v>34</v>
      </c>
      <c r="I16" s="72" t="s">
        <v>23</v>
      </c>
      <c r="J16" s="73" t="str">
        <f t="shared" si="1"/>
        <v>RA-RaBO02:RF-ArcDetec-Circ:Reset-Mon</v>
      </c>
      <c r="K16" s="74" t="str">
        <f t="shared" si="2"/>
        <v>RA_RaBO02_RF_ArcDetec_Circ_ResetMon</v>
      </c>
      <c r="L16" s="75" t="s">
        <v>24</v>
      </c>
      <c r="M16" s="75" t="s">
        <v>71</v>
      </c>
      <c r="N16" s="75"/>
      <c r="O16" s="75" t="str">
        <f t="shared" si="0"/>
        <v>RA_RaBO02_RF_ArcDetec_Circ_ResetMon</v>
      </c>
      <c r="P16" s="76" t="s">
        <v>26</v>
      </c>
      <c r="Q16" s="77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DD4F-5FD0-437C-8BA8-AE5315936B8D}">
  <dimension ref="A1:Q38"/>
  <sheetViews>
    <sheetView tabSelected="1" topLeftCell="E1" workbookViewId="0">
      <selection activeCell="F4" sqref="F4"/>
    </sheetView>
  </sheetViews>
  <sheetFormatPr defaultRowHeight="15"/>
  <cols>
    <col min="1" max="1" width="6.140625" customWidth="1"/>
    <col min="2" max="2" width="52.7109375" bestFit="1" customWidth="1"/>
    <col min="6" max="6" width="12.85546875" bestFit="1" customWidth="1"/>
    <col min="8" max="8" width="21.42578125" bestFit="1" customWidth="1"/>
    <col min="9" max="9" width="10.42578125" bestFit="1" customWidth="1"/>
    <col min="10" max="10" width="48.85546875" bestFit="1" customWidth="1"/>
    <col min="11" max="11" width="49.5703125" bestFit="1" customWidth="1"/>
    <col min="12" max="12" width="12.140625" bestFit="1" customWidth="1"/>
    <col min="13" max="13" width="9.28515625" bestFit="1" customWidth="1"/>
    <col min="15" max="15" width="49.5703125" bestFit="1" customWidth="1"/>
  </cols>
  <sheetData>
    <row r="1" spans="1:17" ht="15.75" thickBot="1">
      <c r="A1" s="27" t="s">
        <v>0</v>
      </c>
      <c r="B1" s="28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6" t="s">
        <v>16</v>
      </c>
    </row>
    <row r="2" spans="1:17" ht="15.75" thickTop="1">
      <c r="A2" s="30">
        <v>1</v>
      </c>
      <c r="B2" s="31" t="s">
        <v>72</v>
      </c>
      <c r="C2" s="32" t="s">
        <v>38</v>
      </c>
      <c r="D2" s="33" t="s">
        <v>73</v>
      </c>
      <c r="E2" s="33" t="s">
        <v>20</v>
      </c>
      <c r="F2" s="33" t="s">
        <v>74</v>
      </c>
      <c r="G2" s="33" t="s">
        <v>22</v>
      </c>
      <c r="H2" s="34" t="s">
        <v>75</v>
      </c>
      <c r="I2" s="10" t="s">
        <v>23</v>
      </c>
      <c r="J2" s="11" t="str">
        <f>IF(G2="-",C2&amp;"-"&amp;D2&amp;":"&amp;E2&amp;"-"&amp;F2&amp;":"&amp;H2&amp;"-"&amp;I2,C2&amp;"-"&amp;D2&amp;":"&amp;E2&amp;"-"&amp;F2&amp;"-"&amp;G2&amp;":"&amp;H2&amp;"-"&amp;I2)</f>
        <v>RA-ToBO:RF-ACDCPanel:300VdcEnbl-Mon</v>
      </c>
      <c r="K2" s="12" t="str">
        <f>IF(G2="-",C2&amp;"_"&amp;D2&amp;"_"&amp;E2&amp;"_"&amp;F2&amp;"_"&amp;H2&amp;""&amp;I2,C2&amp;"_"&amp;D2&amp;"_"&amp;E2&amp;"_"&amp;F2&amp;"_"&amp;G2&amp;"_"&amp;H2&amp;""&amp;I2)</f>
        <v>RA_ToBO_RF_ACDCPanel_300VdcEnblMon</v>
      </c>
      <c r="L2" s="40" t="s">
        <v>24</v>
      </c>
      <c r="M2" s="40" t="s">
        <v>25</v>
      </c>
      <c r="N2" s="40"/>
      <c r="O2" s="13" t="str">
        <f>K2</f>
        <v>RA_ToBO_RF_ACDCPanel_300VdcEnblMon</v>
      </c>
      <c r="P2" s="41" t="s">
        <v>26</v>
      </c>
      <c r="Q2" s="80">
        <v>2</v>
      </c>
    </row>
    <row r="3" spans="1:17">
      <c r="A3" s="6">
        <v>2</v>
      </c>
      <c r="B3" s="7" t="s">
        <v>76</v>
      </c>
      <c r="C3" s="8" t="s">
        <v>38</v>
      </c>
      <c r="D3" s="9" t="s">
        <v>73</v>
      </c>
      <c r="E3" s="9" t="s">
        <v>20</v>
      </c>
      <c r="F3" s="9" t="s">
        <v>74</v>
      </c>
      <c r="G3" s="9" t="s">
        <v>22</v>
      </c>
      <c r="H3" s="10" t="s">
        <v>77</v>
      </c>
      <c r="I3" s="10" t="s">
        <v>35</v>
      </c>
      <c r="J3" s="11" t="str">
        <f t="shared" ref="J3:J38" si="0">IF(G3="-",C3&amp;"-"&amp;D3&amp;":"&amp;E3&amp;"-"&amp;F3&amp;":"&amp;H3&amp;"-"&amp;I3,C3&amp;"-"&amp;D3&amp;":"&amp;E3&amp;"-"&amp;F3&amp;"-"&amp;G3&amp;":"&amp;H3&amp;"-"&amp;I3)</f>
        <v>RA-ToBO:RF-ACDCPanel:300VdcDsbl-Sel</v>
      </c>
      <c r="K3" s="12" t="str">
        <f t="shared" ref="K3:K16" si="1">IF(G3="-",C3&amp;"_"&amp;D3&amp;"_"&amp;E3&amp;"_"&amp;F3&amp;"_"&amp;H3&amp;""&amp;I3,C3&amp;"_"&amp;D3&amp;"_"&amp;E3&amp;"_"&amp;F3&amp;"_"&amp;G3&amp;"_"&amp;H3&amp;""&amp;I3)</f>
        <v>RA_ToBO_RF_ACDCPanel_300VdcDsblSel</v>
      </c>
      <c r="L3" s="13" t="s">
        <v>24</v>
      </c>
      <c r="M3" s="13" t="s">
        <v>36</v>
      </c>
      <c r="N3" s="13"/>
      <c r="O3" s="13" t="str">
        <f t="shared" ref="O3:O16" si="2">K3</f>
        <v>RA_ToBO_RF_ACDCPanel_300VdcDsblSel</v>
      </c>
      <c r="P3" s="14" t="s">
        <v>26</v>
      </c>
      <c r="Q3" s="57">
        <v>2</v>
      </c>
    </row>
    <row r="4" spans="1:17">
      <c r="A4" s="6">
        <v>3</v>
      </c>
      <c r="B4" s="7" t="s">
        <v>78</v>
      </c>
      <c r="C4" s="8" t="s">
        <v>38</v>
      </c>
      <c r="D4" s="9" t="s">
        <v>73</v>
      </c>
      <c r="E4" s="9" t="s">
        <v>20</v>
      </c>
      <c r="F4" s="9" t="s">
        <v>74</v>
      </c>
      <c r="G4" s="9" t="s">
        <v>22</v>
      </c>
      <c r="H4" s="10" t="s">
        <v>75</v>
      </c>
      <c r="I4" s="10" t="s">
        <v>35</v>
      </c>
      <c r="J4" s="11" t="str">
        <f t="shared" si="0"/>
        <v>RA-ToBO:RF-ACDCPanel:300VdcEnbl-Sel</v>
      </c>
      <c r="K4" s="12" t="str">
        <f t="shared" si="1"/>
        <v>RA_ToBO_RF_ACDCPanel_300VdcEnblSel</v>
      </c>
      <c r="L4" s="13" t="s">
        <v>24</v>
      </c>
      <c r="M4" s="13" t="s">
        <v>36</v>
      </c>
      <c r="N4" s="13"/>
      <c r="O4" s="13" t="str">
        <f t="shared" si="2"/>
        <v>RA_ToBO_RF_ACDCPanel_300VdcEnblSel</v>
      </c>
      <c r="P4" s="14" t="s">
        <v>26</v>
      </c>
      <c r="Q4" s="57">
        <v>2</v>
      </c>
    </row>
    <row r="5" spans="1:17">
      <c r="A5" s="6">
        <v>4</v>
      </c>
      <c r="B5" s="7" t="s">
        <v>79</v>
      </c>
      <c r="C5" s="8" t="s">
        <v>38</v>
      </c>
      <c r="D5" s="9" t="s">
        <v>73</v>
      </c>
      <c r="E5" s="9" t="s">
        <v>20</v>
      </c>
      <c r="F5" s="9" t="s">
        <v>74</v>
      </c>
      <c r="G5" s="9" t="s">
        <v>22</v>
      </c>
      <c r="H5" s="10" t="s">
        <v>80</v>
      </c>
      <c r="I5" s="10" t="s">
        <v>51</v>
      </c>
      <c r="J5" s="11" t="str">
        <f t="shared" si="0"/>
        <v>RA-ToBO:RF-ACDCPanel:300Vdc-Sts</v>
      </c>
      <c r="K5" s="12" t="str">
        <f t="shared" si="1"/>
        <v>RA_ToBO_RF_ACDCPanel_300VdcSts</v>
      </c>
      <c r="L5" s="13" t="s">
        <v>24</v>
      </c>
      <c r="M5" s="13" t="s">
        <v>71</v>
      </c>
      <c r="N5" s="13"/>
      <c r="O5" s="13" t="str">
        <f t="shared" si="2"/>
        <v>RA_ToBO_RF_ACDCPanel_300VdcSts</v>
      </c>
      <c r="P5" s="14" t="s">
        <v>26</v>
      </c>
      <c r="Q5" s="57">
        <v>2</v>
      </c>
    </row>
    <row r="6" spans="1:17">
      <c r="A6" s="6">
        <v>5</v>
      </c>
      <c r="B6" s="7" t="s">
        <v>81</v>
      </c>
      <c r="C6" s="8" t="s">
        <v>38</v>
      </c>
      <c r="D6" s="9" t="s">
        <v>73</v>
      </c>
      <c r="E6" s="9" t="s">
        <v>20</v>
      </c>
      <c r="F6" s="9" t="s">
        <v>82</v>
      </c>
      <c r="G6" s="9" t="s">
        <v>83</v>
      </c>
      <c r="H6" s="10" t="s">
        <v>84</v>
      </c>
      <c r="I6" s="10" t="s">
        <v>23</v>
      </c>
      <c r="J6" s="11" t="str">
        <f t="shared" si="0"/>
        <v>RA-ToBO:RF-HeatSink-H01:Tms-Mon</v>
      </c>
      <c r="K6" s="12" t="str">
        <f t="shared" si="1"/>
        <v>RA_ToBO_RF_HeatSink_H01_TmsMon</v>
      </c>
      <c r="L6" s="13" t="s">
        <v>24</v>
      </c>
      <c r="M6" s="13" t="s">
        <v>25</v>
      </c>
      <c r="N6" s="13"/>
      <c r="O6" s="13" t="str">
        <f t="shared" si="2"/>
        <v>RA_ToBO_RF_HeatSink_H01_TmsMon</v>
      </c>
      <c r="P6" s="14" t="s">
        <v>26</v>
      </c>
      <c r="Q6" s="57">
        <v>2</v>
      </c>
    </row>
    <row r="7" spans="1:17">
      <c r="A7" s="6">
        <v>6</v>
      </c>
      <c r="B7" s="7" t="s">
        <v>85</v>
      </c>
      <c r="C7" s="8" t="s">
        <v>38</v>
      </c>
      <c r="D7" s="9" t="s">
        <v>73</v>
      </c>
      <c r="E7" s="9" t="s">
        <v>20</v>
      </c>
      <c r="F7" s="9" t="s">
        <v>82</v>
      </c>
      <c r="G7" s="9" t="s">
        <v>86</v>
      </c>
      <c r="H7" s="10" t="s">
        <v>84</v>
      </c>
      <c r="I7" s="10" t="s">
        <v>23</v>
      </c>
      <c r="J7" s="11" t="str">
        <f t="shared" si="0"/>
        <v>RA-ToBO:RF-HeatSink-H02:Tms-Mon</v>
      </c>
      <c r="K7" s="12" t="str">
        <f t="shared" si="1"/>
        <v>RA_ToBO_RF_HeatSink_H02_TmsMon</v>
      </c>
      <c r="L7" s="13" t="s">
        <v>24</v>
      </c>
      <c r="M7" s="13" t="s">
        <v>25</v>
      </c>
      <c r="N7" s="13"/>
      <c r="O7" s="13" t="str">
        <f t="shared" si="2"/>
        <v>RA_ToBO_RF_HeatSink_H02_TmsMon</v>
      </c>
      <c r="P7" s="14" t="s">
        <v>26</v>
      </c>
      <c r="Q7" s="57">
        <v>2</v>
      </c>
    </row>
    <row r="8" spans="1:17">
      <c r="A8" s="6">
        <v>7</v>
      </c>
      <c r="B8" s="7" t="s">
        <v>87</v>
      </c>
      <c r="C8" s="8" t="s">
        <v>38</v>
      </c>
      <c r="D8" s="9" t="s">
        <v>73</v>
      </c>
      <c r="E8" s="9" t="s">
        <v>20</v>
      </c>
      <c r="F8" s="9" t="s">
        <v>82</v>
      </c>
      <c r="G8" s="9" t="s">
        <v>88</v>
      </c>
      <c r="H8" s="10" t="s">
        <v>84</v>
      </c>
      <c r="I8" s="10" t="s">
        <v>23</v>
      </c>
      <c r="J8" s="11" t="str">
        <f t="shared" si="0"/>
        <v>RA-ToBO:RF-HeatSink-H03:Tms-Mon</v>
      </c>
      <c r="K8" s="12" t="str">
        <f t="shared" si="1"/>
        <v>RA_ToBO_RF_HeatSink_H03_TmsMon</v>
      </c>
      <c r="L8" s="13" t="s">
        <v>24</v>
      </c>
      <c r="M8" s="13" t="s">
        <v>25</v>
      </c>
      <c r="N8" s="13"/>
      <c r="O8" s="13" t="str">
        <f t="shared" si="2"/>
        <v>RA_ToBO_RF_HeatSink_H03_TmsMon</v>
      </c>
      <c r="P8" s="14" t="s">
        <v>26</v>
      </c>
      <c r="Q8" s="57">
        <v>2</v>
      </c>
    </row>
    <row r="9" spans="1:17">
      <c r="A9" s="6">
        <v>8</v>
      </c>
      <c r="B9" s="7" t="s">
        <v>89</v>
      </c>
      <c r="C9" s="8" t="s">
        <v>38</v>
      </c>
      <c r="D9" s="9" t="s">
        <v>73</v>
      </c>
      <c r="E9" s="9" t="s">
        <v>20</v>
      </c>
      <c r="F9" s="9" t="s">
        <v>82</v>
      </c>
      <c r="G9" s="9" t="s">
        <v>90</v>
      </c>
      <c r="H9" s="10" t="s">
        <v>84</v>
      </c>
      <c r="I9" s="10" t="s">
        <v>23</v>
      </c>
      <c r="J9" s="11" t="str">
        <f t="shared" si="0"/>
        <v>RA-ToBO:RF-HeatSink-H04:Tms-Mon</v>
      </c>
      <c r="K9" s="12" t="str">
        <f t="shared" si="1"/>
        <v>RA_ToBO_RF_HeatSink_H04_TmsMon</v>
      </c>
      <c r="L9" s="13" t="s">
        <v>24</v>
      </c>
      <c r="M9" s="13" t="s">
        <v>25</v>
      </c>
      <c r="N9" s="13"/>
      <c r="O9" s="13" t="str">
        <f t="shared" si="2"/>
        <v>RA_ToBO_RF_HeatSink_H04_TmsMon</v>
      </c>
      <c r="P9" s="14" t="s">
        <v>26</v>
      </c>
      <c r="Q9" s="57">
        <v>2</v>
      </c>
    </row>
    <row r="10" spans="1:17">
      <c r="A10" s="6">
        <v>9</v>
      </c>
      <c r="B10" s="7" t="s">
        <v>91</v>
      </c>
      <c r="C10" s="8" t="s">
        <v>38</v>
      </c>
      <c r="D10" s="9" t="s">
        <v>73</v>
      </c>
      <c r="E10" s="9" t="s">
        <v>20</v>
      </c>
      <c r="F10" s="9" t="s">
        <v>82</v>
      </c>
      <c r="G10" s="9" t="s">
        <v>92</v>
      </c>
      <c r="H10" s="10" t="s">
        <v>84</v>
      </c>
      <c r="I10" s="10" t="s">
        <v>23</v>
      </c>
      <c r="J10" s="11" t="str">
        <f t="shared" si="0"/>
        <v>RA-ToBO:RF-HeatSink-H05:Tms-Mon</v>
      </c>
      <c r="K10" s="12" t="str">
        <f t="shared" si="1"/>
        <v>RA_ToBO_RF_HeatSink_H05_TmsMon</v>
      </c>
      <c r="L10" s="13" t="s">
        <v>24</v>
      </c>
      <c r="M10" s="13" t="s">
        <v>25</v>
      </c>
      <c r="N10" s="13"/>
      <c r="O10" s="13" t="str">
        <f t="shared" si="2"/>
        <v>RA_ToBO_RF_HeatSink_H05_TmsMon</v>
      </c>
      <c r="P10" s="14" t="s">
        <v>26</v>
      </c>
      <c r="Q10" s="57">
        <v>2</v>
      </c>
    </row>
    <row r="11" spans="1:17">
      <c r="A11" s="6">
        <v>10</v>
      </c>
      <c r="B11" s="7" t="s">
        <v>93</v>
      </c>
      <c r="C11" s="8" t="s">
        <v>38</v>
      </c>
      <c r="D11" s="9" t="s">
        <v>73</v>
      </c>
      <c r="E11" s="9" t="s">
        <v>20</v>
      </c>
      <c r="F11" s="9" t="s">
        <v>82</v>
      </c>
      <c r="G11" s="9" t="s">
        <v>94</v>
      </c>
      <c r="H11" s="10" t="s">
        <v>84</v>
      </c>
      <c r="I11" s="10" t="s">
        <v>23</v>
      </c>
      <c r="J11" s="11" t="str">
        <f t="shared" si="0"/>
        <v>RA-ToBO:RF-HeatSink-H06:Tms-Mon</v>
      </c>
      <c r="K11" s="12" t="str">
        <f t="shared" si="1"/>
        <v>RA_ToBO_RF_HeatSink_H06_TmsMon</v>
      </c>
      <c r="L11" s="13" t="s">
        <v>24</v>
      </c>
      <c r="M11" s="13" t="s">
        <v>25</v>
      </c>
      <c r="N11" s="13"/>
      <c r="O11" s="13" t="str">
        <f t="shared" si="2"/>
        <v>RA_ToBO_RF_HeatSink_H06_TmsMon</v>
      </c>
      <c r="P11" s="14" t="s">
        <v>26</v>
      </c>
      <c r="Q11" s="57">
        <v>2</v>
      </c>
    </row>
    <row r="12" spans="1:17">
      <c r="A12" s="6">
        <v>11</v>
      </c>
      <c r="B12" s="7" t="s">
        <v>95</v>
      </c>
      <c r="C12" s="8" t="s">
        <v>38</v>
      </c>
      <c r="D12" s="9" t="s">
        <v>73</v>
      </c>
      <c r="E12" s="9" t="s">
        <v>20</v>
      </c>
      <c r="F12" s="9" t="s">
        <v>82</v>
      </c>
      <c r="G12" s="9" t="s">
        <v>83</v>
      </c>
      <c r="H12" s="10" t="s">
        <v>96</v>
      </c>
      <c r="I12" s="10" t="s">
        <v>23</v>
      </c>
      <c r="J12" s="11" t="str">
        <f t="shared" si="0"/>
        <v>RA-ToBO:RF-HeatSink-H01:T-Mon</v>
      </c>
      <c r="K12" s="12" t="str">
        <f t="shared" si="1"/>
        <v>RA_ToBO_RF_HeatSink_H01_TMon</v>
      </c>
      <c r="L12" s="13" t="s">
        <v>46</v>
      </c>
      <c r="M12" s="13" t="s">
        <v>25</v>
      </c>
      <c r="N12" s="13" t="s">
        <v>97</v>
      </c>
      <c r="O12" s="13" t="str">
        <f t="shared" si="2"/>
        <v>RA_ToBO_RF_HeatSink_H01_TMon</v>
      </c>
      <c r="P12" s="14" t="s">
        <v>98</v>
      </c>
      <c r="Q12" s="57">
        <v>2</v>
      </c>
    </row>
    <row r="13" spans="1:17">
      <c r="A13" s="6">
        <v>12</v>
      </c>
      <c r="B13" s="7" t="s">
        <v>99</v>
      </c>
      <c r="C13" s="8" t="s">
        <v>38</v>
      </c>
      <c r="D13" s="9" t="s">
        <v>73</v>
      </c>
      <c r="E13" s="9" t="s">
        <v>20</v>
      </c>
      <c r="F13" s="9" t="s">
        <v>82</v>
      </c>
      <c r="G13" s="9" t="s">
        <v>86</v>
      </c>
      <c r="H13" s="10" t="s">
        <v>96</v>
      </c>
      <c r="I13" s="10" t="s">
        <v>23</v>
      </c>
      <c r="J13" s="11" t="str">
        <f t="shared" si="0"/>
        <v>RA-ToBO:RF-HeatSink-H02:T-Mon</v>
      </c>
      <c r="K13" s="12" t="str">
        <f t="shared" si="1"/>
        <v>RA_ToBO_RF_HeatSink_H02_TMon</v>
      </c>
      <c r="L13" s="13" t="s">
        <v>46</v>
      </c>
      <c r="M13" s="13" t="s">
        <v>25</v>
      </c>
      <c r="N13" s="13" t="s">
        <v>97</v>
      </c>
      <c r="O13" s="13" t="str">
        <f t="shared" si="2"/>
        <v>RA_ToBO_RF_HeatSink_H02_TMon</v>
      </c>
      <c r="P13" s="14" t="s">
        <v>98</v>
      </c>
      <c r="Q13" s="57">
        <v>2</v>
      </c>
    </row>
    <row r="14" spans="1:17">
      <c r="A14" s="6">
        <v>13</v>
      </c>
      <c r="B14" s="7" t="s">
        <v>100</v>
      </c>
      <c r="C14" s="8" t="s">
        <v>38</v>
      </c>
      <c r="D14" s="9" t="s">
        <v>73</v>
      </c>
      <c r="E14" s="9" t="s">
        <v>20</v>
      </c>
      <c r="F14" s="9" t="s">
        <v>82</v>
      </c>
      <c r="G14" s="9" t="s">
        <v>88</v>
      </c>
      <c r="H14" s="10" t="s">
        <v>96</v>
      </c>
      <c r="I14" s="10" t="s">
        <v>23</v>
      </c>
      <c r="J14" s="11" t="str">
        <f t="shared" si="0"/>
        <v>RA-ToBO:RF-HeatSink-H03:T-Mon</v>
      </c>
      <c r="K14" s="12" t="str">
        <f t="shared" si="1"/>
        <v>RA_ToBO_RF_HeatSink_H03_TMon</v>
      </c>
      <c r="L14" s="13" t="s">
        <v>46</v>
      </c>
      <c r="M14" s="13" t="s">
        <v>25</v>
      </c>
      <c r="N14" s="13" t="s">
        <v>97</v>
      </c>
      <c r="O14" s="13" t="str">
        <f t="shared" ref="O14" si="3">K14</f>
        <v>RA_ToBO_RF_HeatSink_H03_TMon</v>
      </c>
      <c r="P14" s="14" t="s">
        <v>98</v>
      </c>
      <c r="Q14" s="57">
        <v>2</v>
      </c>
    </row>
    <row r="15" spans="1:17">
      <c r="A15" s="6">
        <v>14</v>
      </c>
      <c r="B15" s="7" t="s">
        <v>101</v>
      </c>
      <c r="C15" s="8" t="s">
        <v>38</v>
      </c>
      <c r="D15" s="9" t="s">
        <v>73</v>
      </c>
      <c r="E15" s="9" t="s">
        <v>20</v>
      </c>
      <c r="F15" s="9" t="s">
        <v>82</v>
      </c>
      <c r="G15" s="9" t="s">
        <v>90</v>
      </c>
      <c r="H15" s="10" t="s">
        <v>96</v>
      </c>
      <c r="I15" s="10" t="s">
        <v>23</v>
      </c>
      <c r="J15" s="11" t="str">
        <f t="shared" si="0"/>
        <v>RA-ToBO:RF-HeatSink-H04:T-Mon</v>
      </c>
      <c r="K15" s="12" t="str">
        <f t="shared" ref="K15:K38" si="4">IF(G15="-",C15&amp;"_"&amp;D15&amp;"_"&amp;E15&amp;"_"&amp;F15&amp;"_"&amp;H15&amp;""&amp;I15,C15&amp;"_"&amp;D15&amp;"_"&amp;E15&amp;"_"&amp;F15&amp;"_"&amp;G15&amp;"_"&amp;H15&amp;""&amp;I15)</f>
        <v>RA_ToBO_RF_HeatSink_H04_TMon</v>
      </c>
      <c r="L15" s="13" t="s">
        <v>46</v>
      </c>
      <c r="M15" s="13" t="s">
        <v>25</v>
      </c>
      <c r="N15" s="13" t="s">
        <v>97</v>
      </c>
      <c r="O15" s="13" t="str">
        <f t="shared" ref="O15:O38" si="5">K15</f>
        <v>RA_ToBO_RF_HeatSink_H04_TMon</v>
      </c>
      <c r="P15" s="14" t="s">
        <v>98</v>
      </c>
      <c r="Q15" s="57">
        <v>2</v>
      </c>
    </row>
    <row r="16" spans="1:17">
      <c r="A16" s="6">
        <v>15</v>
      </c>
      <c r="B16" s="7" t="s">
        <v>102</v>
      </c>
      <c r="C16" s="8" t="s">
        <v>38</v>
      </c>
      <c r="D16" s="9" t="s">
        <v>73</v>
      </c>
      <c r="E16" s="9" t="s">
        <v>20</v>
      </c>
      <c r="F16" s="9" t="s">
        <v>82</v>
      </c>
      <c r="G16" s="9" t="s">
        <v>92</v>
      </c>
      <c r="H16" s="10" t="s">
        <v>96</v>
      </c>
      <c r="I16" s="10" t="s">
        <v>23</v>
      </c>
      <c r="J16" s="11" t="str">
        <f t="shared" si="0"/>
        <v>RA-ToBO:RF-HeatSink-H05:T-Mon</v>
      </c>
      <c r="K16" s="12" t="str">
        <f t="shared" si="4"/>
        <v>RA_ToBO_RF_HeatSink_H05_TMon</v>
      </c>
      <c r="L16" s="13" t="s">
        <v>46</v>
      </c>
      <c r="M16" s="13" t="s">
        <v>25</v>
      </c>
      <c r="N16" s="13" t="s">
        <v>97</v>
      </c>
      <c r="O16" s="13" t="str">
        <f t="shared" si="5"/>
        <v>RA_ToBO_RF_HeatSink_H05_TMon</v>
      </c>
      <c r="P16" s="14" t="s">
        <v>98</v>
      </c>
      <c r="Q16" s="57">
        <v>2</v>
      </c>
    </row>
    <row r="17" spans="1:17">
      <c r="A17" s="6">
        <v>16</v>
      </c>
      <c r="B17" s="7" t="s">
        <v>103</v>
      </c>
      <c r="C17" s="8" t="s">
        <v>38</v>
      </c>
      <c r="D17" s="9" t="s">
        <v>73</v>
      </c>
      <c r="E17" s="9" t="s">
        <v>20</v>
      </c>
      <c r="F17" s="9" t="s">
        <v>82</v>
      </c>
      <c r="G17" s="9" t="s">
        <v>94</v>
      </c>
      <c r="H17" s="10" t="s">
        <v>96</v>
      </c>
      <c r="I17" s="10" t="s">
        <v>23</v>
      </c>
      <c r="J17" s="11" t="str">
        <f t="shared" si="0"/>
        <v>RA-ToBO:RF-HeatSink-H06:T-Mon</v>
      </c>
      <c r="K17" s="12" t="str">
        <f t="shared" si="4"/>
        <v>RA_ToBO_RF_HeatSink_H06_TMon</v>
      </c>
      <c r="L17" s="13" t="s">
        <v>46</v>
      </c>
      <c r="M17" s="13" t="s">
        <v>25</v>
      </c>
      <c r="N17" s="13" t="s">
        <v>97</v>
      </c>
      <c r="O17" s="13" t="str">
        <f t="shared" si="5"/>
        <v>RA_ToBO_RF_HeatSink_H06_TMon</v>
      </c>
      <c r="P17" s="14" t="s">
        <v>98</v>
      </c>
      <c r="Q17" s="57">
        <v>2</v>
      </c>
    </row>
    <row r="18" spans="1:17">
      <c r="A18" s="6">
        <v>17</v>
      </c>
      <c r="B18" s="7" t="s">
        <v>104</v>
      </c>
      <c r="C18" s="8" t="s">
        <v>38</v>
      </c>
      <c r="D18" s="9" t="s">
        <v>73</v>
      </c>
      <c r="E18" s="9" t="s">
        <v>20</v>
      </c>
      <c r="F18" s="9" t="s">
        <v>82</v>
      </c>
      <c r="G18" s="9" t="s">
        <v>83</v>
      </c>
      <c r="H18" s="10" t="s">
        <v>105</v>
      </c>
      <c r="I18" s="10" t="s">
        <v>23</v>
      </c>
      <c r="J18" s="11" t="str">
        <f t="shared" si="0"/>
        <v>RA-ToBO:RF-HeatSink-H01:TUp-Mon</v>
      </c>
      <c r="K18" s="12" t="str">
        <f t="shared" si="4"/>
        <v>RA_ToBO_RF_HeatSink_H01_TUpMon</v>
      </c>
      <c r="L18" s="13" t="s">
        <v>24</v>
      </c>
      <c r="M18" s="13" t="s">
        <v>25</v>
      </c>
      <c r="N18" s="13"/>
      <c r="O18" s="13" t="str">
        <f t="shared" si="5"/>
        <v>RA_ToBO_RF_HeatSink_H01_TUpMon</v>
      </c>
      <c r="P18" s="14" t="s">
        <v>26</v>
      </c>
      <c r="Q18" s="57">
        <v>2</v>
      </c>
    </row>
    <row r="19" spans="1:17">
      <c r="A19" s="6">
        <v>18</v>
      </c>
      <c r="B19" s="7" t="s">
        <v>106</v>
      </c>
      <c r="C19" s="8" t="s">
        <v>38</v>
      </c>
      <c r="D19" s="9" t="s">
        <v>73</v>
      </c>
      <c r="E19" s="9" t="s">
        <v>20</v>
      </c>
      <c r="F19" s="9" t="s">
        <v>82</v>
      </c>
      <c r="G19" s="9" t="s">
        <v>86</v>
      </c>
      <c r="H19" s="10" t="s">
        <v>105</v>
      </c>
      <c r="I19" s="10" t="s">
        <v>23</v>
      </c>
      <c r="J19" s="11" t="str">
        <f t="shared" si="0"/>
        <v>RA-ToBO:RF-HeatSink-H02:TUp-Mon</v>
      </c>
      <c r="K19" s="12" t="str">
        <f t="shared" si="4"/>
        <v>RA_ToBO_RF_HeatSink_H02_TUpMon</v>
      </c>
      <c r="L19" s="13" t="s">
        <v>24</v>
      </c>
      <c r="M19" s="13" t="s">
        <v>25</v>
      </c>
      <c r="N19" s="13"/>
      <c r="O19" s="13" t="str">
        <f t="shared" si="5"/>
        <v>RA_ToBO_RF_HeatSink_H02_TUpMon</v>
      </c>
      <c r="P19" s="14" t="s">
        <v>26</v>
      </c>
      <c r="Q19" s="57">
        <v>2</v>
      </c>
    </row>
    <row r="20" spans="1:17">
      <c r="A20" s="6">
        <v>19</v>
      </c>
      <c r="B20" s="7" t="s">
        <v>107</v>
      </c>
      <c r="C20" s="8" t="s">
        <v>38</v>
      </c>
      <c r="D20" s="9" t="s">
        <v>73</v>
      </c>
      <c r="E20" s="9" t="s">
        <v>20</v>
      </c>
      <c r="F20" s="9" t="s">
        <v>82</v>
      </c>
      <c r="G20" s="9" t="s">
        <v>88</v>
      </c>
      <c r="H20" s="10" t="s">
        <v>105</v>
      </c>
      <c r="I20" s="10" t="s">
        <v>23</v>
      </c>
      <c r="J20" s="11" t="str">
        <f t="shared" si="0"/>
        <v>RA-ToBO:RF-HeatSink-H03:TUp-Mon</v>
      </c>
      <c r="K20" s="12" t="str">
        <f t="shared" si="4"/>
        <v>RA_ToBO_RF_HeatSink_H03_TUpMon</v>
      </c>
      <c r="L20" s="13" t="s">
        <v>24</v>
      </c>
      <c r="M20" s="13" t="s">
        <v>25</v>
      </c>
      <c r="N20" s="13"/>
      <c r="O20" s="13" t="str">
        <f t="shared" si="5"/>
        <v>RA_ToBO_RF_HeatSink_H03_TUpMon</v>
      </c>
      <c r="P20" s="14" t="s">
        <v>26</v>
      </c>
      <c r="Q20" s="57">
        <v>2</v>
      </c>
    </row>
    <row r="21" spans="1:17">
      <c r="A21" s="6">
        <v>20</v>
      </c>
      <c r="B21" s="7" t="s">
        <v>108</v>
      </c>
      <c r="C21" s="8" t="s">
        <v>38</v>
      </c>
      <c r="D21" s="9" t="s">
        <v>73</v>
      </c>
      <c r="E21" s="9" t="s">
        <v>20</v>
      </c>
      <c r="F21" s="9" t="s">
        <v>82</v>
      </c>
      <c r="G21" s="9" t="s">
        <v>90</v>
      </c>
      <c r="H21" s="10" t="s">
        <v>105</v>
      </c>
      <c r="I21" s="10" t="s">
        <v>23</v>
      </c>
      <c r="J21" s="11" t="str">
        <f t="shared" si="0"/>
        <v>RA-ToBO:RF-HeatSink-H04:TUp-Mon</v>
      </c>
      <c r="K21" s="12" t="str">
        <f t="shared" si="4"/>
        <v>RA_ToBO_RF_HeatSink_H04_TUpMon</v>
      </c>
      <c r="L21" s="13" t="s">
        <v>24</v>
      </c>
      <c r="M21" s="13" t="s">
        <v>25</v>
      </c>
      <c r="N21" s="13"/>
      <c r="O21" s="13" t="str">
        <f t="shared" si="5"/>
        <v>RA_ToBO_RF_HeatSink_H04_TUpMon</v>
      </c>
      <c r="P21" s="14" t="s">
        <v>26</v>
      </c>
      <c r="Q21" s="57">
        <v>2</v>
      </c>
    </row>
    <row r="22" spans="1:17">
      <c r="A22" s="6">
        <v>21</v>
      </c>
      <c r="B22" s="7" t="s">
        <v>109</v>
      </c>
      <c r="C22" s="8" t="s">
        <v>38</v>
      </c>
      <c r="D22" s="9" t="s">
        <v>73</v>
      </c>
      <c r="E22" s="9" t="s">
        <v>20</v>
      </c>
      <c r="F22" s="9" t="s">
        <v>82</v>
      </c>
      <c r="G22" s="9" t="s">
        <v>92</v>
      </c>
      <c r="H22" s="10" t="s">
        <v>105</v>
      </c>
      <c r="I22" s="10" t="s">
        <v>23</v>
      </c>
      <c r="J22" s="11" t="str">
        <f t="shared" si="0"/>
        <v>RA-ToBO:RF-HeatSink-H05:TUp-Mon</v>
      </c>
      <c r="K22" s="12" t="str">
        <f t="shared" si="4"/>
        <v>RA_ToBO_RF_HeatSink_H05_TUpMon</v>
      </c>
      <c r="L22" s="13" t="s">
        <v>24</v>
      </c>
      <c r="M22" s="13" t="s">
        <v>25</v>
      </c>
      <c r="N22" s="13"/>
      <c r="O22" s="13" t="str">
        <f t="shared" si="5"/>
        <v>RA_ToBO_RF_HeatSink_H05_TUpMon</v>
      </c>
      <c r="P22" s="14" t="s">
        <v>26</v>
      </c>
      <c r="Q22" s="57">
        <v>2</v>
      </c>
    </row>
    <row r="23" spans="1:17">
      <c r="A23" s="6">
        <v>22</v>
      </c>
      <c r="B23" s="7" t="s">
        <v>110</v>
      </c>
      <c r="C23" s="8" t="s">
        <v>38</v>
      </c>
      <c r="D23" s="9" t="s">
        <v>73</v>
      </c>
      <c r="E23" s="9" t="s">
        <v>20</v>
      </c>
      <c r="F23" s="9" t="s">
        <v>82</v>
      </c>
      <c r="G23" s="9" t="s">
        <v>94</v>
      </c>
      <c r="H23" s="10" t="s">
        <v>105</v>
      </c>
      <c r="I23" s="10" t="s">
        <v>23</v>
      </c>
      <c r="J23" s="11" t="str">
        <f t="shared" si="0"/>
        <v>RA-ToBO:RF-HeatSink-H06:TUp-Mon</v>
      </c>
      <c r="K23" s="12" t="str">
        <f t="shared" si="4"/>
        <v>RA_ToBO_RF_HeatSink_H06_TUpMon</v>
      </c>
      <c r="L23" s="13" t="s">
        <v>24</v>
      </c>
      <c r="M23" s="13" t="s">
        <v>25</v>
      </c>
      <c r="N23" s="13"/>
      <c r="O23" s="13" t="str">
        <f t="shared" si="5"/>
        <v>RA_ToBO_RF_HeatSink_H06_TUpMon</v>
      </c>
      <c r="P23" s="14" t="s">
        <v>26</v>
      </c>
      <c r="Q23" s="57">
        <v>2</v>
      </c>
    </row>
    <row r="24" spans="1:17">
      <c r="A24" s="6">
        <v>23</v>
      </c>
      <c r="B24" s="7" t="s">
        <v>111</v>
      </c>
      <c r="C24" s="8" t="s">
        <v>38</v>
      </c>
      <c r="D24" s="9" t="s">
        <v>73</v>
      </c>
      <c r="E24" s="9" t="s">
        <v>20</v>
      </c>
      <c r="F24" s="9" t="s">
        <v>82</v>
      </c>
      <c r="G24" s="9" t="s">
        <v>83</v>
      </c>
      <c r="H24" s="10" t="s">
        <v>112</v>
      </c>
      <c r="I24" s="10" t="s">
        <v>23</v>
      </c>
      <c r="J24" s="11" t="str">
        <f t="shared" si="0"/>
        <v>RA-ToBO:RF-HeatSink-H01:TDown-Mon</v>
      </c>
      <c r="K24" s="12" t="str">
        <f t="shared" si="4"/>
        <v>RA_ToBO_RF_HeatSink_H01_TDownMon</v>
      </c>
      <c r="L24" s="13" t="s">
        <v>24</v>
      </c>
      <c r="M24" s="13" t="s">
        <v>25</v>
      </c>
      <c r="N24" s="13"/>
      <c r="O24" s="13" t="str">
        <f t="shared" si="5"/>
        <v>RA_ToBO_RF_HeatSink_H01_TDownMon</v>
      </c>
      <c r="P24" s="14" t="s">
        <v>26</v>
      </c>
      <c r="Q24" s="57">
        <v>2</v>
      </c>
    </row>
    <row r="25" spans="1:17">
      <c r="A25" s="6">
        <v>24</v>
      </c>
      <c r="B25" s="7" t="s">
        <v>113</v>
      </c>
      <c r="C25" s="8" t="s">
        <v>38</v>
      </c>
      <c r="D25" s="9" t="s">
        <v>73</v>
      </c>
      <c r="E25" s="9" t="s">
        <v>20</v>
      </c>
      <c r="F25" s="9" t="s">
        <v>82</v>
      </c>
      <c r="G25" s="9" t="s">
        <v>86</v>
      </c>
      <c r="H25" s="10" t="s">
        <v>112</v>
      </c>
      <c r="I25" s="10" t="s">
        <v>23</v>
      </c>
      <c r="J25" s="11" t="str">
        <f t="shared" si="0"/>
        <v>RA-ToBO:RF-HeatSink-H02:TDown-Mon</v>
      </c>
      <c r="K25" s="12" t="str">
        <f t="shared" si="4"/>
        <v>RA_ToBO_RF_HeatSink_H02_TDownMon</v>
      </c>
      <c r="L25" s="13" t="s">
        <v>24</v>
      </c>
      <c r="M25" s="13" t="s">
        <v>25</v>
      </c>
      <c r="N25" s="13"/>
      <c r="O25" s="13" t="str">
        <f t="shared" si="5"/>
        <v>RA_ToBO_RF_HeatSink_H02_TDownMon</v>
      </c>
      <c r="P25" s="14" t="s">
        <v>26</v>
      </c>
      <c r="Q25" s="57">
        <v>2</v>
      </c>
    </row>
    <row r="26" spans="1:17">
      <c r="A26" s="6">
        <v>25</v>
      </c>
      <c r="B26" s="7" t="s">
        <v>114</v>
      </c>
      <c r="C26" s="8" t="s">
        <v>38</v>
      </c>
      <c r="D26" s="9" t="s">
        <v>73</v>
      </c>
      <c r="E26" s="9" t="s">
        <v>20</v>
      </c>
      <c r="F26" s="9" t="s">
        <v>82</v>
      </c>
      <c r="G26" s="9" t="s">
        <v>88</v>
      </c>
      <c r="H26" s="10" t="s">
        <v>112</v>
      </c>
      <c r="I26" s="10" t="s">
        <v>23</v>
      </c>
      <c r="J26" s="11" t="str">
        <f t="shared" si="0"/>
        <v>RA-ToBO:RF-HeatSink-H03:TDown-Mon</v>
      </c>
      <c r="K26" s="12" t="str">
        <f t="shared" si="4"/>
        <v>RA_ToBO_RF_HeatSink_H03_TDownMon</v>
      </c>
      <c r="L26" s="13" t="s">
        <v>24</v>
      </c>
      <c r="M26" s="13" t="s">
        <v>25</v>
      </c>
      <c r="N26" s="13"/>
      <c r="O26" s="13" t="str">
        <f t="shared" si="5"/>
        <v>RA_ToBO_RF_HeatSink_H03_TDownMon</v>
      </c>
      <c r="P26" s="14" t="s">
        <v>26</v>
      </c>
      <c r="Q26" s="57">
        <v>2</v>
      </c>
    </row>
    <row r="27" spans="1:17">
      <c r="A27" s="6">
        <v>26</v>
      </c>
      <c r="B27" s="7" t="s">
        <v>115</v>
      </c>
      <c r="C27" s="8" t="s">
        <v>38</v>
      </c>
      <c r="D27" s="9" t="s">
        <v>73</v>
      </c>
      <c r="E27" s="9" t="s">
        <v>20</v>
      </c>
      <c r="F27" s="9" t="s">
        <v>82</v>
      </c>
      <c r="G27" s="9" t="s">
        <v>90</v>
      </c>
      <c r="H27" s="10" t="s">
        <v>112</v>
      </c>
      <c r="I27" s="10" t="s">
        <v>23</v>
      </c>
      <c r="J27" s="11" t="str">
        <f t="shared" si="0"/>
        <v>RA-ToBO:RF-HeatSink-H04:TDown-Mon</v>
      </c>
      <c r="K27" s="12" t="str">
        <f t="shared" si="4"/>
        <v>RA_ToBO_RF_HeatSink_H04_TDownMon</v>
      </c>
      <c r="L27" s="13" t="s">
        <v>24</v>
      </c>
      <c r="M27" s="13" t="s">
        <v>25</v>
      </c>
      <c r="N27" s="13"/>
      <c r="O27" s="13" t="str">
        <f t="shared" si="5"/>
        <v>RA_ToBO_RF_HeatSink_H04_TDownMon</v>
      </c>
      <c r="P27" s="14" t="s">
        <v>26</v>
      </c>
      <c r="Q27" s="57">
        <v>2</v>
      </c>
    </row>
    <row r="28" spans="1:17">
      <c r="A28" s="6">
        <v>27</v>
      </c>
      <c r="B28" s="7" t="s">
        <v>116</v>
      </c>
      <c r="C28" s="8" t="s">
        <v>38</v>
      </c>
      <c r="D28" s="9" t="s">
        <v>73</v>
      </c>
      <c r="E28" s="9" t="s">
        <v>20</v>
      </c>
      <c r="F28" s="9" t="s">
        <v>82</v>
      </c>
      <c r="G28" s="9" t="s">
        <v>92</v>
      </c>
      <c r="H28" s="10" t="s">
        <v>112</v>
      </c>
      <c r="I28" s="10" t="s">
        <v>23</v>
      </c>
      <c r="J28" s="11" t="str">
        <f t="shared" si="0"/>
        <v>RA-ToBO:RF-HeatSink-H05:TDown-Mon</v>
      </c>
      <c r="K28" s="12" t="str">
        <f t="shared" si="4"/>
        <v>RA_ToBO_RF_HeatSink_H05_TDownMon</v>
      </c>
      <c r="L28" s="13" t="s">
        <v>24</v>
      </c>
      <c r="M28" s="13" t="s">
        <v>25</v>
      </c>
      <c r="N28" s="13"/>
      <c r="O28" s="13" t="str">
        <f t="shared" si="5"/>
        <v>RA_ToBO_RF_HeatSink_H05_TDownMon</v>
      </c>
      <c r="P28" s="14" t="s">
        <v>26</v>
      </c>
      <c r="Q28" s="57">
        <v>2</v>
      </c>
    </row>
    <row r="29" spans="1:17">
      <c r="A29" s="6">
        <v>28</v>
      </c>
      <c r="B29" s="7" t="s">
        <v>117</v>
      </c>
      <c r="C29" s="8" t="s">
        <v>38</v>
      </c>
      <c r="D29" s="9" t="s">
        <v>73</v>
      </c>
      <c r="E29" s="9" t="s">
        <v>20</v>
      </c>
      <c r="F29" s="9" t="s">
        <v>82</v>
      </c>
      <c r="G29" s="9" t="s">
        <v>94</v>
      </c>
      <c r="H29" s="10" t="s">
        <v>112</v>
      </c>
      <c r="I29" s="10" t="s">
        <v>23</v>
      </c>
      <c r="J29" s="11" t="str">
        <f t="shared" si="0"/>
        <v>RA-ToBO:RF-HeatSink-H06:TDown-Mon</v>
      </c>
      <c r="K29" s="12" t="str">
        <f t="shared" si="4"/>
        <v>RA_ToBO_RF_HeatSink_H06_TDownMon</v>
      </c>
      <c r="L29" s="13" t="s">
        <v>24</v>
      </c>
      <c r="M29" s="13" t="s">
        <v>25</v>
      </c>
      <c r="N29" s="13"/>
      <c r="O29" s="13" t="str">
        <f t="shared" si="5"/>
        <v>RA_ToBO_RF_HeatSink_H06_TDownMon</v>
      </c>
      <c r="P29" s="14" t="s">
        <v>26</v>
      </c>
      <c r="Q29" s="57">
        <v>2</v>
      </c>
    </row>
    <row r="30" spans="1:17">
      <c r="A30" s="6">
        <v>30</v>
      </c>
      <c r="B30" s="7" t="s">
        <v>118</v>
      </c>
      <c r="C30" s="8" t="s">
        <v>38</v>
      </c>
      <c r="D30" s="9" t="s">
        <v>73</v>
      </c>
      <c r="E30" s="9" t="s">
        <v>20</v>
      </c>
      <c r="F30" s="9" t="s">
        <v>119</v>
      </c>
      <c r="G30" s="9" t="s">
        <v>22</v>
      </c>
      <c r="H30" s="10" t="s">
        <v>120</v>
      </c>
      <c r="I30" s="10" t="s">
        <v>23</v>
      </c>
      <c r="J30" s="11" t="str">
        <f t="shared" si="0"/>
        <v>RA-ToBO:RF-SSAmpTower:HdFlwRt-Mon</v>
      </c>
      <c r="K30" s="12" t="str">
        <f t="shared" si="4"/>
        <v>RA_ToBO_RF_SSAmpTower_HdFlwRtMon</v>
      </c>
      <c r="L30" s="13" t="s">
        <v>24</v>
      </c>
      <c r="M30" s="13" t="s">
        <v>25</v>
      </c>
      <c r="N30" s="13"/>
      <c r="O30" s="13" t="str">
        <f t="shared" si="5"/>
        <v>RA_ToBO_RF_SSAmpTower_HdFlwRtMon</v>
      </c>
      <c r="P30" s="14" t="s">
        <v>26</v>
      </c>
      <c r="Q30" s="57">
        <v>2</v>
      </c>
    </row>
    <row r="31" spans="1:17">
      <c r="A31" s="6">
        <v>31</v>
      </c>
      <c r="B31" s="7" t="s">
        <v>121</v>
      </c>
      <c r="C31" s="8" t="s">
        <v>38</v>
      </c>
      <c r="D31" s="9" t="s">
        <v>73</v>
      </c>
      <c r="E31" s="9" t="s">
        <v>20</v>
      </c>
      <c r="F31" s="9" t="s">
        <v>119</v>
      </c>
      <c r="G31" s="9" t="s">
        <v>22</v>
      </c>
      <c r="H31" s="10" t="s">
        <v>122</v>
      </c>
      <c r="I31" s="10" t="s">
        <v>35</v>
      </c>
      <c r="J31" s="11" t="str">
        <f t="shared" si="0"/>
        <v>RA-ToBO:RF-SSAmpTower:PwrCnvDsbl-Sel</v>
      </c>
      <c r="K31" s="12" t="str">
        <f t="shared" si="4"/>
        <v>RA_ToBO_RF_SSAmpTower_PwrCnvDsblSel</v>
      </c>
      <c r="L31" s="13" t="s">
        <v>24</v>
      </c>
      <c r="M31" s="13" t="s">
        <v>36</v>
      </c>
      <c r="N31" s="13"/>
      <c r="O31" s="13" t="str">
        <f t="shared" si="5"/>
        <v>RA_ToBO_RF_SSAmpTower_PwrCnvDsblSel</v>
      </c>
      <c r="P31" s="14" t="s">
        <v>26</v>
      </c>
      <c r="Q31" s="57">
        <v>2</v>
      </c>
    </row>
    <row r="32" spans="1:17">
      <c r="A32" s="6">
        <v>29</v>
      </c>
      <c r="B32" s="7" t="s">
        <v>123</v>
      </c>
      <c r="C32" s="8" t="s">
        <v>38</v>
      </c>
      <c r="D32" s="9" t="s">
        <v>73</v>
      </c>
      <c r="E32" s="9" t="s">
        <v>20</v>
      </c>
      <c r="F32" s="9" t="s">
        <v>119</v>
      </c>
      <c r="G32" s="9" t="s">
        <v>22</v>
      </c>
      <c r="H32" s="10" t="s">
        <v>124</v>
      </c>
      <c r="I32" s="10" t="s">
        <v>35</v>
      </c>
      <c r="J32" s="11" t="str">
        <f t="shared" si="0"/>
        <v>RA-ToBO:RF-SSAmpTower:PwrCnvEnbl-Sel</v>
      </c>
      <c r="K32" s="12" t="str">
        <f t="shared" si="4"/>
        <v>RA_ToBO_RF_SSAmpTower_PwrCnvEnblSel</v>
      </c>
      <c r="L32" s="13" t="s">
        <v>24</v>
      </c>
      <c r="M32" s="13" t="s">
        <v>36</v>
      </c>
      <c r="N32" s="13"/>
      <c r="O32" s="13" t="str">
        <f t="shared" si="5"/>
        <v>RA_ToBO_RF_SSAmpTower_PwrCnvEnblSel</v>
      </c>
      <c r="P32" s="14" t="s">
        <v>26</v>
      </c>
      <c r="Q32" s="57">
        <v>2</v>
      </c>
    </row>
    <row r="33" spans="1:17">
      <c r="A33" s="6">
        <v>30</v>
      </c>
      <c r="B33" s="7" t="s">
        <v>125</v>
      </c>
      <c r="C33" s="8" t="s">
        <v>38</v>
      </c>
      <c r="D33" s="9" t="s">
        <v>73</v>
      </c>
      <c r="E33" s="9" t="s">
        <v>20</v>
      </c>
      <c r="F33" s="9" t="s">
        <v>119</v>
      </c>
      <c r="G33" s="9" t="s">
        <v>22</v>
      </c>
      <c r="H33" s="10" t="s">
        <v>126</v>
      </c>
      <c r="I33" s="10" t="s">
        <v>51</v>
      </c>
      <c r="J33" s="11" t="str">
        <f t="shared" si="0"/>
        <v>RA-ToBO:RF-SSAmpTower:PwrCnv-Sts</v>
      </c>
      <c r="K33" s="12" t="str">
        <f t="shared" si="4"/>
        <v>RA_ToBO_RF_SSAmpTower_PwrCnvSts</v>
      </c>
      <c r="L33" s="13" t="s">
        <v>24</v>
      </c>
      <c r="M33" s="13" t="s">
        <v>71</v>
      </c>
      <c r="N33" s="13"/>
      <c r="O33" s="13" t="str">
        <f t="shared" si="5"/>
        <v>RA_ToBO_RF_SSAmpTower_PwrCnvSts</v>
      </c>
      <c r="P33" s="14" t="s">
        <v>26</v>
      </c>
      <c r="Q33" s="57">
        <v>2</v>
      </c>
    </row>
    <row r="34" spans="1:17">
      <c r="A34" s="6">
        <v>34</v>
      </c>
      <c r="B34" s="7" t="s">
        <v>127</v>
      </c>
      <c r="C34" s="8" t="s">
        <v>38</v>
      </c>
      <c r="D34" s="9" t="s">
        <v>73</v>
      </c>
      <c r="E34" s="9" t="s">
        <v>20</v>
      </c>
      <c r="F34" s="9" t="s">
        <v>119</v>
      </c>
      <c r="G34" s="9" t="s">
        <v>22</v>
      </c>
      <c r="H34" s="10" t="s">
        <v>51</v>
      </c>
      <c r="I34" s="10" t="s">
        <v>23</v>
      </c>
      <c r="J34" s="11" t="str">
        <f t="shared" si="0"/>
        <v>RA-ToBO:RF-SSAmpTower:Sts-Mon</v>
      </c>
      <c r="K34" s="12" t="str">
        <f t="shared" si="4"/>
        <v>RA_ToBO_RF_SSAmpTower_StsMon</v>
      </c>
      <c r="L34" s="13" t="s">
        <v>24</v>
      </c>
      <c r="M34" s="13" t="s">
        <v>36</v>
      </c>
      <c r="N34" s="13"/>
      <c r="O34" s="13" t="str">
        <f t="shared" si="5"/>
        <v>RA_ToBO_RF_SSAmpTower_StsMon</v>
      </c>
      <c r="P34" s="14" t="s">
        <v>26</v>
      </c>
      <c r="Q34" s="57">
        <v>2</v>
      </c>
    </row>
    <row r="35" spans="1:17">
      <c r="A35" s="6">
        <v>35</v>
      </c>
      <c r="B35" s="7" t="s">
        <v>128</v>
      </c>
      <c r="C35" s="8" t="s">
        <v>18</v>
      </c>
      <c r="D35" s="9" t="s">
        <v>73</v>
      </c>
      <c r="E35" s="9" t="s">
        <v>20</v>
      </c>
      <c r="F35" s="9" t="s">
        <v>74</v>
      </c>
      <c r="G35" s="9" t="s">
        <v>22</v>
      </c>
      <c r="H35" s="10" t="s">
        <v>129</v>
      </c>
      <c r="I35" s="10" t="s">
        <v>130</v>
      </c>
      <c r="J35" s="11" t="str">
        <f t="shared" si="0"/>
        <v>BO-ToBO:RF-ACDCPanel:CurrentVdc-Mon_RAW</v>
      </c>
      <c r="K35" s="12" t="str">
        <f t="shared" si="4"/>
        <v>BO_ToBO_RF_ACDCPanel_CurrentVdcMon_RAW</v>
      </c>
      <c r="L35" s="13" t="s">
        <v>46</v>
      </c>
      <c r="M35" s="13" t="s">
        <v>25</v>
      </c>
      <c r="N35" s="13" t="s">
        <v>131</v>
      </c>
      <c r="O35" s="13" t="str">
        <f t="shared" si="5"/>
        <v>BO_ToBO_RF_ACDCPanel_CurrentVdcMon_RAW</v>
      </c>
      <c r="P35" s="14" t="s">
        <v>26</v>
      </c>
      <c r="Q35" s="57">
        <v>2</v>
      </c>
    </row>
    <row r="36" spans="1:17">
      <c r="A36" s="6">
        <v>36</v>
      </c>
      <c r="B36" s="7" t="s">
        <v>132</v>
      </c>
      <c r="C36" s="8" t="s">
        <v>18</v>
      </c>
      <c r="D36" s="9" t="s">
        <v>73</v>
      </c>
      <c r="E36" s="9" t="s">
        <v>20</v>
      </c>
      <c r="F36" s="9" t="s">
        <v>74</v>
      </c>
      <c r="G36" s="9" t="s">
        <v>22</v>
      </c>
      <c r="H36" s="10" t="s">
        <v>80</v>
      </c>
      <c r="I36" s="10" t="s">
        <v>130</v>
      </c>
      <c r="J36" s="11" t="str">
        <f t="shared" si="0"/>
        <v>BO-ToBO:RF-ACDCPanel:300Vdc-Mon_RAW</v>
      </c>
      <c r="K36" s="12" t="str">
        <f t="shared" si="4"/>
        <v>BO_ToBO_RF_ACDCPanel_300VdcMon_RAW</v>
      </c>
      <c r="L36" s="13" t="s">
        <v>46</v>
      </c>
      <c r="M36" s="13" t="s">
        <v>25</v>
      </c>
      <c r="N36" s="13" t="s">
        <v>133</v>
      </c>
      <c r="O36" s="13" t="str">
        <f t="shared" si="5"/>
        <v>BO_ToBO_RF_ACDCPanel_300VdcMon_RAW</v>
      </c>
      <c r="P36" s="14" t="s">
        <v>26</v>
      </c>
      <c r="Q36" s="57">
        <v>2</v>
      </c>
    </row>
    <row r="37" spans="1:17">
      <c r="A37" s="35">
        <v>37</v>
      </c>
      <c r="B37" s="36" t="s">
        <v>134</v>
      </c>
      <c r="C37" s="37" t="s">
        <v>18</v>
      </c>
      <c r="D37" s="38" t="s">
        <v>73</v>
      </c>
      <c r="E37" s="38" t="s">
        <v>20</v>
      </c>
      <c r="F37" s="38" t="s">
        <v>74</v>
      </c>
      <c r="G37" s="38" t="s">
        <v>22</v>
      </c>
      <c r="H37" s="39" t="s">
        <v>135</v>
      </c>
      <c r="I37" s="10" t="s">
        <v>23</v>
      </c>
      <c r="J37" s="11" t="str">
        <f t="shared" si="0"/>
        <v>BO-ToBO:RF-ACDCPanel:CtrlMode-Mon</v>
      </c>
      <c r="K37" s="12" t="str">
        <f t="shared" si="4"/>
        <v>BO_ToBO_RF_ACDCPanel_CtrlModeMon</v>
      </c>
      <c r="L37" s="13" t="s">
        <v>24</v>
      </c>
      <c r="M37" s="13" t="s">
        <v>25</v>
      </c>
      <c r="N37" s="13"/>
      <c r="O37" s="13" t="str">
        <f t="shared" si="5"/>
        <v>BO_ToBO_RF_ACDCPanel_CtrlModeMon</v>
      </c>
      <c r="P37" s="14" t="s">
        <v>26</v>
      </c>
      <c r="Q37" s="57">
        <v>2</v>
      </c>
    </row>
    <row r="38" spans="1:17">
      <c r="A38" s="81">
        <v>38</v>
      </c>
      <c r="B38" s="82" t="s">
        <v>136</v>
      </c>
      <c r="C38" s="83" t="s">
        <v>18</v>
      </c>
      <c r="D38" s="84" t="s">
        <v>73</v>
      </c>
      <c r="E38" s="84" t="s">
        <v>20</v>
      </c>
      <c r="F38" s="84" t="s">
        <v>74</v>
      </c>
      <c r="G38" s="84" t="s">
        <v>22</v>
      </c>
      <c r="H38" s="85" t="s">
        <v>21</v>
      </c>
      <c r="I38" s="72" t="s">
        <v>23</v>
      </c>
      <c r="J38" s="73" t="str">
        <f t="shared" si="0"/>
        <v>BO-ToBO:RF-ACDCPanel:Intlk-Mon</v>
      </c>
      <c r="K38" s="74" t="str">
        <f t="shared" si="4"/>
        <v>BO_ToBO_RF_ACDCPanel_IntlkMon</v>
      </c>
      <c r="L38" s="75" t="s">
        <v>24</v>
      </c>
      <c r="M38" s="75" t="s">
        <v>25</v>
      </c>
      <c r="N38" s="75"/>
      <c r="O38" s="75" t="str">
        <f t="shared" si="5"/>
        <v>BO_ToBO_RF_ACDCPanel_IntlkMon</v>
      </c>
      <c r="P38" s="76" t="s">
        <v>26</v>
      </c>
      <c r="Q38" s="77">
        <v>2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5139-34C0-46F8-976D-0942B4E97D5D}">
  <dimension ref="A1:Q20"/>
  <sheetViews>
    <sheetView workbookViewId="0">
      <selection activeCell="O14" sqref="O14"/>
    </sheetView>
  </sheetViews>
  <sheetFormatPr defaultRowHeight="15"/>
  <cols>
    <col min="2" max="2" width="44" bestFit="1" customWidth="1"/>
    <col min="6" max="6" width="12.140625" bestFit="1" customWidth="1"/>
    <col min="8" max="8" width="15.42578125" customWidth="1"/>
    <col min="10" max="10" width="64.85546875" bestFit="1" customWidth="1"/>
    <col min="11" max="11" width="41.42578125" bestFit="1" customWidth="1"/>
    <col min="12" max="12" width="12.140625" bestFit="1" customWidth="1"/>
    <col min="13" max="13" width="9.28515625" bestFit="1" customWidth="1"/>
    <col min="15" max="15" width="40.42578125" bestFit="1" customWidth="1"/>
  </cols>
  <sheetData>
    <row r="1" spans="1:17" ht="15.75" thickBot="1">
      <c r="A1" s="58" t="s">
        <v>0</v>
      </c>
      <c r="B1" s="59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2" t="s">
        <v>7</v>
      </c>
      <c r="I1" s="62" t="s">
        <v>8</v>
      </c>
      <c r="J1" s="63" t="s">
        <v>9</v>
      </c>
      <c r="K1" s="64" t="s">
        <v>10</v>
      </c>
      <c r="L1" s="65" t="s">
        <v>11</v>
      </c>
      <c r="M1" s="65" t="s">
        <v>12</v>
      </c>
      <c r="N1" s="65" t="s">
        <v>13</v>
      </c>
      <c r="O1" s="64" t="s">
        <v>14</v>
      </c>
      <c r="P1" s="66" t="s">
        <v>15</v>
      </c>
      <c r="Q1" s="91" t="s">
        <v>16</v>
      </c>
    </row>
    <row r="2" spans="1:17" ht="15.75" thickTop="1">
      <c r="A2" s="78">
        <v>1</v>
      </c>
      <c r="B2" s="15" t="s">
        <v>137</v>
      </c>
      <c r="C2" s="16" t="s">
        <v>38</v>
      </c>
      <c r="D2" s="17" t="s">
        <v>138</v>
      </c>
      <c r="E2" s="17" t="s">
        <v>20</v>
      </c>
      <c r="F2" s="17" t="s">
        <v>139</v>
      </c>
      <c r="G2" s="17" t="s">
        <v>22</v>
      </c>
      <c r="H2" s="18" t="s">
        <v>140</v>
      </c>
      <c r="I2" s="10" t="s">
        <v>35</v>
      </c>
      <c r="J2" s="11" t="str">
        <f>IF(G2="-",C2&amp;"-"&amp;D2&amp;":"&amp;E2&amp;"-"&amp;F2&amp;":"&amp;H2&amp;"-"&amp;I2,C2&amp;"-"&amp;D2&amp;":"&amp;E2&amp;"-"&amp;F2&amp;"-"&amp;G2&amp;":"&amp;H2&amp;"-"&amp;I2)</f>
        <v>RA-RaBO01:RF-LLRFPreAmp:PinSwEnbl-Sel</v>
      </c>
      <c r="K2" s="12" t="str">
        <f>IF(G2="-",C2&amp;"_"&amp;D2&amp;"_"&amp;E2&amp;"_"&amp;F2&amp;"_"&amp;H2&amp;""&amp;I2,C2&amp;"_"&amp;D2&amp;"_"&amp;E2&amp;"_"&amp;F2&amp;"_"&amp;G2&amp;"_"&amp;H2&amp;""&amp;I2)</f>
        <v>RA_RaBO01_RF_LLRFPreAmp_PinSwEnblSel</v>
      </c>
      <c r="L2" s="13" t="s">
        <v>24</v>
      </c>
      <c r="M2" s="13" t="s">
        <v>36</v>
      </c>
      <c r="N2" s="24"/>
      <c r="O2" s="12" t="str">
        <f>K2</f>
        <v>RA_RaBO01_RF_LLRFPreAmp_PinSwEnblSel</v>
      </c>
      <c r="P2" s="14" t="s">
        <v>26</v>
      </c>
      <c r="Q2" s="57"/>
    </row>
    <row r="3" spans="1:17">
      <c r="A3" s="78">
        <v>2</v>
      </c>
      <c r="B3" s="15" t="s">
        <v>141</v>
      </c>
      <c r="C3" s="16" t="s">
        <v>38</v>
      </c>
      <c r="D3" s="17" t="s">
        <v>138</v>
      </c>
      <c r="E3" s="17" t="s">
        <v>20</v>
      </c>
      <c r="F3" s="17" t="s">
        <v>139</v>
      </c>
      <c r="G3" s="17" t="s">
        <v>22</v>
      </c>
      <c r="H3" s="18" t="s">
        <v>142</v>
      </c>
      <c r="I3" s="10" t="s">
        <v>35</v>
      </c>
      <c r="J3" s="11" t="str">
        <f t="shared" ref="J3:J12" si="0">IF(G3="-",C3&amp;"-"&amp;D3&amp;":"&amp;E3&amp;"-"&amp;F3&amp;":"&amp;H3&amp;"-"&amp;I3,C3&amp;"-"&amp;D3&amp;":"&amp;E3&amp;"-"&amp;F3&amp;"-"&amp;G3&amp;":"&amp;H3&amp;"-"&amp;I3)</f>
        <v>RA-RaBO01:RF-LLRFPreAmp:PinSwDsbl-Sel</v>
      </c>
      <c r="K3" s="12" t="str">
        <f t="shared" ref="K3:K12" si="1">IF(G3="-",C3&amp;"_"&amp;D3&amp;"_"&amp;E3&amp;"_"&amp;F3&amp;"_"&amp;H3&amp;""&amp;I3,C3&amp;"_"&amp;D3&amp;"_"&amp;E3&amp;"_"&amp;F3&amp;"_"&amp;G3&amp;"_"&amp;H3&amp;""&amp;I3)</f>
        <v>RA_RaBO01_RF_LLRFPreAmp_PinSwDsblSel</v>
      </c>
      <c r="L3" s="13" t="s">
        <v>24</v>
      </c>
      <c r="M3" s="13" t="s">
        <v>36</v>
      </c>
      <c r="N3" s="24"/>
      <c r="O3" s="12" t="str">
        <f>K3</f>
        <v>RA_RaBO01_RF_LLRFPreAmp_PinSwDsblSel</v>
      </c>
      <c r="P3" s="14" t="s">
        <v>26</v>
      </c>
      <c r="Q3" s="57"/>
    </row>
    <row r="4" spans="1:17" s="26" customFormat="1">
      <c r="A4" s="90">
        <v>3</v>
      </c>
      <c r="B4" s="20" t="s">
        <v>143</v>
      </c>
      <c r="C4" s="21" t="s">
        <v>38</v>
      </c>
      <c r="D4" s="22" t="s">
        <v>138</v>
      </c>
      <c r="E4" s="22" t="s">
        <v>20</v>
      </c>
      <c r="F4" s="22" t="s">
        <v>139</v>
      </c>
      <c r="G4" s="22" t="s">
        <v>22</v>
      </c>
      <c r="H4" s="23" t="s">
        <v>144</v>
      </c>
      <c r="I4" s="23" t="s">
        <v>51</v>
      </c>
      <c r="J4" s="25" t="str">
        <f t="shared" si="0"/>
        <v>RA-RaBO01:RF-LLRFPreAmp:PinSw-Sts</v>
      </c>
      <c r="K4" s="21" t="str">
        <f t="shared" si="1"/>
        <v>RA_RaBO01_RF_LLRFPreAmp_PinSwSts</v>
      </c>
      <c r="L4" s="22"/>
      <c r="M4" s="22"/>
      <c r="N4" s="22"/>
      <c r="O4" s="21" t="s">
        <v>47</v>
      </c>
      <c r="P4" s="23" t="s">
        <v>26</v>
      </c>
      <c r="Q4" s="19"/>
    </row>
    <row r="5" spans="1:17">
      <c r="A5" s="78">
        <v>4</v>
      </c>
      <c r="B5" s="7" t="s">
        <v>145</v>
      </c>
      <c r="C5" s="8" t="s">
        <v>38</v>
      </c>
      <c r="D5" s="9" t="s">
        <v>138</v>
      </c>
      <c r="E5" s="9" t="s">
        <v>20</v>
      </c>
      <c r="F5" s="9" t="s">
        <v>139</v>
      </c>
      <c r="G5" s="9" t="s">
        <v>22</v>
      </c>
      <c r="H5" s="10" t="s">
        <v>144</v>
      </c>
      <c r="I5" s="10" t="s">
        <v>23</v>
      </c>
      <c r="J5" s="11" t="str">
        <f t="shared" si="0"/>
        <v>RA-RaBO01:RF-LLRFPreAmp:PinSw-Mon</v>
      </c>
      <c r="K5" s="12" t="str">
        <f t="shared" si="1"/>
        <v>RA_RaBO01_RF_LLRFPreAmp_PinSwMon</v>
      </c>
      <c r="L5" s="13" t="s">
        <v>24</v>
      </c>
      <c r="M5" s="13" t="s">
        <v>71</v>
      </c>
      <c r="N5" s="13"/>
      <c r="O5" s="12" t="str">
        <f>K5</f>
        <v>RA_RaBO01_RF_LLRFPreAmp_PinSwMon</v>
      </c>
      <c r="P5" s="14" t="s">
        <v>26</v>
      </c>
      <c r="Q5" s="57"/>
    </row>
    <row r="6" spans="1:17">
      <c r="A6" s="78">
        <v>5</v>
      </c>
      <c r="B6" s="7" t="s">
        <v>146</v>
      </c>
      <c r="C6" s="8" t="s">
        <v>18</v>
      </c>
      <c r="D6" s="9" t="s">
        <v>19</v>
      </c>
      <c r="E6" s="9" t="s">
        <v>20</v>
      </c>
      <c r="F6" s="9" t="s">
        <v>28</v>
      </c>
      <c r="G6" s="9" t="s">
        <v>22</v>
      </c>
      <c r="H6" s="10" t="s">
        <v>147</v>
      </c>
      <c r="I6" s="10" t="s">
        <v>23</v>
      </c>
      <c r="J6" s="11" t="str">
        <f t="shared" si="0"/>
        <v>BO-05D:RF-LLRF:Status-Mon</v>
      </c>
      <c r="K6" s="12" t="str">
        <f t="shared" si="1"/>
        <v>BO_05D_RF_LLRF_StatusMon</v>
      </c>
      <c r="L6" s="13" t="s">
        <v>24</v>
      </c>
      <c r="M6" s="13" t="s">
        <v>25</v>
      </c>
      <c r="N6" s="13"/>
      <c r="O6" s="12" t="str">
        <f>K6</f>
        <v>BO_05D_RF_LLRF_StatusMon</v>
      </c>
      <c r="P6" s="14" t="s">
        <v>26</v>
      </c>
      <c r="Q6" s="57"/>
    </row>
    <row r="7" spans="1:17" s="26" customFormat="1">
      <c r="A7" s="90">
        <v>6</v>
      </c>
      <c r="B7" s="20" t="s">
        <v>148</v>
      </c>
      <c r="C7" s="21" t="s">
        <v>18</v>
      </c>
      <c r="D7" s="22" t="s">
        <v>19</v>
      </c>
      <c r="E7" s="22" t="s">
        <v>20</v>
      </c>
      <c r="F7" s="22" t="s">
        <v>28</v>
      </c>
      <c r="G7" s="22" t="s">
        <v>22</v>
      </c>
      <c r="H7" s="23" t="s">
        <v>21</v>
      </c>
      <c r="I7" s="23" t="s">
        <v>23</v>
      </c>
      <c r="J7" s="25" t="str">
        <f t="shared" si="0"/>
        <v>BO-05D:RF-LLRF:Intlk-Mon</v>
      </c>
      <c r="K7" s="21" t="str">
        <f t="shared" si="1"/>
        <v>BO_05D_RF_LLRF_IntlkMon</v>
      </c>
      <c r="L7" s="22" t="s">
        <v>24</v>
      </c>
      <c r="M7" s="22" t="s">
        <v>25</v>
      </c>
      <c r="N7" s="22"/>
      <c r="O7" s="21" t="s">
        <v>47</v>
      </c>
      <c r="P7" s="23" t="s">
        <v>26</v>
      </c>
      <c r="Q7" s="19"/>
    </row>
    <row r="8" spans="1:17">
      <c r="A8" s="78">
        <v>7</v>
      </c>
      <c r="B8" s="7" t="s">
        <v>149</v>
      </c>
      <c r="C8" s="8" t="s">
        <v>38</v>
      </c>
      <c r="D8" s="9" t="s">
        <v>138</v>
      </c>
      <c r="E8" s="9" t="s">
        <v>20</v>
      </c>
      <c r="F8" s="9" t="s">
        <v>139</v>
      </c>
      <c r="G8" s="9" t="s">
        <v>22</v>
      </c>
      <c r="H8" s="10" t="s">
        <v>84</v>
      </c>
      <c r="I8" s="10" t="s">
        <v>23</v>
      </c>
      <c r="J8" s="11" t="str">
        <f t="shared" si="0"/>
        <v>RA-RaBO01:RF-LLRFPreAmp:Tms-Mon</v>
      </c>
      <c r="K8" s="12" t="str">
        <f t="shared" si="1"/>
        <v>RA_RaBO01_RF_LLRFPreAmp_TmsMon</v>
      </c>
      <c r="L8" s="13" t="s">
        <v>24</v>
      </c>
      <c r="M8" s="13" t="s">
        <v>25</v>
      </c>
      <c r="N8" s="13"/>
      <c r="O8" s="12" t="s">
        <v>47</v>
      </c>
      <c r="P8" s="14" t="s">
        <v>26</v>
      </c>
      <c r="Q8" s="57"/>
    </row>
    <row r="9" spans="1:17">
      <c r="A9" s="78">
        <v>8</v>
      </c>
      <c r="B9" s="7" t="s">
        <v>150</v>
      </c>
      <c r="C9" s="8" t="s">
        <v>38</v>
      </c>
      <c r="D9" s="9" t="s">
        <v>138</v>
      </c>
      <c r="E9" s="9" t="s">
        <v>20</v>
      </c>
      <c r="F9" s="9" t="s">
        <v>139</v>
      </c>
      <c r="G9" s="9" t="s">
        <v>22</v>
      </c>
      <c r="H9" s="10" t="s">
        <v>151</v>
      </c>
      <c r="I9" s="10" t="s">
        <v>23</v>
      </c>
      <c r="J9" s="11" t="str">
        <f t="shared" si="0"/>
        <v>RA-RaBO01:RF-LLRFPreAmp:T1-Mon</v>
      </c>
      <c r="K9" s="12" t="str">
        <f t="shared" si="1"/>
        <v>RA_RaBO01_RF_LLRFPreAmp_T1Mon</v>
      </c>
      <c r="L9" s="13" t="s">
        <v>46</v>
      </c>
      <c r="M9" s="13" t="s">
        <v>25</v>
      </c>
      <c r="N9" s="13" t="s">
        <v>97</v>
      </c>
      <c r="O9" s="12" t="str">
        <f>K9</f>
        <v>RA_RaBO01_RF_LLRFPreAmp_T1Mon</v>
      </c>
      <c r="P9" s="14" t="s">
        <v>98</v>
      </c>
      <c r="Q9" s="57">
        <v>2</v>
      </c>
    </row>
    <row r="10" spans="1:17">
      <c r="A10" s="78">
        <v>9</v>
      </c>
      <c r="B10" s="7" t="s">
        <v>152</v>
      </c>
      <c r="C10" s="8" t="s">
        <v>38</v>
      </c>
      <c r="D10" s="9" t="s">
        <v>138</v>
      </c>
      <c r="E10" s="9" t="s">
        <v>20</v>
      </c>
      <c r="F10" s="9" t="s">
        <v>139</v>
      </c>
      <c r="G10" s="9" t="s">
        <v>22</v>
      </c>
      <c r="H10" s="10" t="s">
        <v>153</v>
      </c>
      <c r="I10" s="10" t="s">
        <v>23</v>
      </c>
      <c r="J10" s="11" t="str">
        <f t="shared" si="0"/>
        <v>RA-RaBO01:RF-LLRFPreAmp:T2-Mon</v>
      </c>
      <c r="K10" s="12" t="str">
        <f t="shared" si="1"/>
        <v>RA_RaBO01_RF_LLRFPreAmp_T2Mon</v>
      </c>
      <c r="L10" s="13"/>
      <c r="M10" s="13"/>
      <c r="N10" s="13"/>
      <c r="O10" s="12" t="s">
        <v>47</v>
      </c>
      <c r="P10" s="14" t="s">
        <v>26</v>
      </c>
      <c r="Q10" s="57"/>
    </row>
    <row r="11" spans="1:17" s="26" customFormat="1">
      <c r="A11" s="90">
        <v>10</v>
      </c>
      <c r="B11" s="20" t="s">
        <v>154</v>
      </c>
      <c r="C11" s="21" t="s">
        <v>38</v>
      </c>
      <c r="D11" s="22" t="s">
        <v>138</v>
      </c>
      <c r="E11" s="22" t="s">
        <v>20</v>
      </c>
      <c r="F11" s="22" t="s">
        <v>139</v>
      </c>
      <c r="G11" s="22" t="s">
        <v>22</v>
      </c>
      <c r="H11" s="23" t="s">
        <v>155</v>
      </c>
      <c r="I11" s="23" t="s">
        <v>23</v>
      </c>
      <c r="J11" s="25" t="str">
        <f t="shared" si="0"/>
        <v>RA-RaBO01:RF-LLRFPreAmp:Enbl-Mon</v>
      </c>
      <c r="K11" s="21" t="str">
        <f t="shared" si="1"/>
        <v>RA_RaBO01_RF_LLRFPreAmp_EnblMon</v>
      </c>
      <c r="L11" s="22" t="s">
        <v>24</v>
      </c>
      <c r="M11" s="22" t="s">
        <v>71</v>
      </c>
      <c r="N11" s="22"/>
      <c r="O11" s="21" t="s">
        <v>47</v>
      </c>
      <c r="P11" s="23" t="s">
        <v>26</v>
      </c>
      <c r="Q11" s="19"/>
    </row>
    <row r="12" spans="1:17">
      <c r="A12" s="92">
        <v>11</v>
      </c>
      <c r="B12" s="69" t="s">
        <v>156</v>
      </c>
      <c r="C12" s="70" t="s">
        <v>38</v>
      </c>
      <c r="D12" s="71" t="s">
        <v>138</v>
      </c>
      <c r="E12" s="71" t="s">
        <v>20</v>
      </c>
      <c r="F12" s="71" t="s">
        <v>139</v>
      </c>
      <c r="G12" s="71" t="s">
        <v>22</v>
      </c>
      <c r="H12" s="72" t="s">
        <v>157</v>
      </c>
      <c r="I12" s="72" t="s">
        <v>23</v>
      </c>
      <c r="J12" s="73" t="str">
        <f t="shared" si="0"/>
        <v>RA-RaBO01:RF-LLRFPreAmp:T1Up-Mon</v>
      </c>
      <c r="K12" s="74" t="str">
        <f t="shared" si="1"/>
        <v>RA_RaBO01_RF_LLRFPreAmp_T1UpMon</v>
      </c>
      <c r="L12" s="75" t="s">
        <v>24</v>
      </c>
      <c r="M12" s="75" t="s">
        <v>71</v>
      </c>
      <c r="N12" s="75"/>
      <c r="O12" s="12" t="str">
        <f>K12</f>
        <v>RA_RaBO01_RF_LLRFPreAmp_T1UpMon</v>
      </c>
      <c r="P12" s="76" t="s">
        <v>26</v>
      </c>
      <c r="Q12" s="77"/>
    </row>
    <row r="13" spans="1:17">
      <c r="K13" s="42"/>
    </row>
    <row r="14" spans="1:17">
      <c r="K14" s="42"/>
    </row>
    <row r="15" spans="1:17">
      <c r="K15" s="42"/>
    </row>
    <row r="16" spans="1:17">
      <c r="K16" s="42"/>
    </row>
    <row r="17" spans="11:11">
      <c r="K17" s="42"/>
    </row>
    <row r="18" spans="11:11">
      <c r="K18" s="42"/>
    </row>
    <row r="19" spans="11:11">
      <c r="K19" s="42"/>
    </row>
    <row r="20" spans="11:11">
      <c r="K20" s="42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A12A-5087-484F-9B5F-D3D6B631F998}">
  <dimension ref="A1:Q37"/>
  <sheetViews>
    <sheetView topLeftCell="G1" workbookViewId="0">
      <selection activeCell="J4" sqref="J4"/>
    </sheetView>
  </sheetViews>
  <sheetFormatPr defaultRowHeight="15"/>
  <cols>
    <col min="2" max="2" width="37.140625" bestFit="1" customWidth="1"/>
    <col min="8" max="8" width="18.28515625" bestFit="1" customWidth="1"/>
    <col min="10" max="10" width="39.5703125" bestFit="1" customWidth="1"/>
    <col min="11" max="11" width="40.28515625" bestFit="1" customWidth="1"/>
    <col min="12" max="12" width="12.140625" bestFit="1" customWidth="1"/>
    <col min="13" max="13" width="9.28515625" bestFit="1" customWidth="1"/>
    <col min="14" max="14" width="7.28515625" bestFit="1" customWidth="1"/>
    <col min="15" max="15" width="35.5703125" bestFit="1" customWidth="1"/>
  </cols>
  <sheetData>
    <row r="1" spans="1:17" ht="15.75" thickBot="1">
      <c r="A1" s="58" t="s">
        <v>0</v>
      </c>
      <c r="B1" s="59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2" t="s">
        <v>7</v>
      </c>
      <c r="I1" s="62" t="s">
        <v>8</v>
      </c>
      <c r="J1" s="63" t="s">
        <v>9</v>
      </c>
      <c r="K1" s="64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6" t="s">
        <v>15</v>
      </c>
      <c r="Q1" s="67" t="s">
        <v>16</v>
      </c>
    </row>
    <row r="2" spans="1:17" s="54" customFormat="1" ht="15.75" thickTop="1">
      <c r="A2" s="86">
        <v>1</v>
      </c>
      <c r="B2" s="44" t="s">
        <v>158</v>
      </c>
      <c r="C2" s="45" t="s">
        <v>18</v>
      </c>
      <c r="D2" s="46" t="s">
        <v>19</v>
      </c>
      <c r="E2" s="46" t="s">
        <v>20</v>
      </c>
      <c r="F2" s="46" t="s">
        <v>159</v>
      </c>
      <c r="G2" s="46" t="s">
        <v>22</v>
      </c>
      <c r="H2" s="47" t="s">
        <v>51</v>
      </c>
      <c r="I2" s="48" t="s">
        <v>23</v>
      </c>
      <c r="J2" s="49" t="str">
        <f>IF(G2="-",C2&amp;"-"&amp;D2&amp;":"&amp;E2&amp;"-"&amp;F2&amp;":"&amp;H2&amp;"-"&amp;I2,C2&amp;"-"&amp;D2&amp;":"&amp;E2&amp;"-"&amp;F2&amp;"-"&amp;G2&amp;":"&amp;H2&amp;"-"&amp;I2)</f>
        <v>BO-05D:RF-P5Cav:Sts-Mon</v>
      </c>
      <c r="K2" s="50" t="str">
        <f>IF(G2="-",C2&amp;"_"&amp;D2&amp;"_"&amp;E2&amp;"_"&amp;F2&amp;"_"&amp;H2&amp;""&amp;I2,C2&amp;"_"&amp;D2&amp;"_"&amp;E2&amp;"_"&amp;F2&amp;"_"&amp;G2&amp;"_"&amp;H2&amp;""&amp;I2)</f>
        <v>BO_05D_RF_P5Cav_StsMon</v>
      </c>
      <c r="L2" s="51" t="s">
        <v>24</v>
      </c>
      <c r="M2" s="51" t="s">
        <v>36</v>
      </c>
      <c r="N2" s="51"/>
      <c r="O2" s="52" t="str">
        <f>K2</f>
        <v>BO_05D_RF_P5Cav_StsMon</v>
      </c>
      <c r="P2" s="53" t="s">
        <v>26</v>
      </c>
      <c r="Q2" s="87"/>
    </row>
    <row r="3" spans="1:17">
      <c r="A3" s="55">
        <v>2</v>
      </c>
      <c r="B3" s="7" t="s">
        <v>160</v>
      </c>
      <c r="C3" s="8" t="s">
        <v>18</v>
      </c>
      <c r="D3" s="9" t="s">
        <v>19</v>
      </c>
      <c r="E3" s="9" t="s">
        <v>20</v>
      </c>
      <c r="F3" s="9" t="s">
        <v>159</v>
      </c>
      <c r="G3" s="9" t="s">
        <v>22</v>
      </c>
      <c r="H3" s="10" t="s">
        <v>161</v>
      </c>
      <c r="I3" s="10" t="s">
        <v>23</v>
      </c>
      <c r="J3" s="11" t="str">
        <f t="shared" ref="J3:J37" si="0">IF(G3="-",C3&amp;"-"&amp;D3&amp;":"&amp;E3&amp;"-"&amp;F3&amp;":"&amp;H3&amp;"-"&amp;I3,C3&amp;"-"&amp;D3&amp;":"&amp;E3&amp;"-"&amp;F3&amp;"-"&amp;G3&amp;":"&amp;H3&amp;"-"&amp;I3)</f>
        <v>BO-05D:RF-P5Cav:Hd1FlwRt-Mon</v>
      </c>
      <c r="K3" s="12" t="str">
        <f t="shared" ref="K3:K37" si="1">IF(G3="-",C3&amp;"_"&amp;D3&amp;"_"&amp;E3&amp;"_"&amp;F3&amp;"_"&amp;H3&amp;""&amp;I3,C3&amp;"_"&amp;D3&amp;"_"&amp;E3&amp;"_"&amp;F3&amp;"_"&amp;G3&amp;"_"&amp;H3&amp;""&amp;I3)</f>
        <v>BO_05D_RF_P5Cav_Hd1FlwRtMon</v>
      </c>
      <c r="L3" s="13" t="s">
        <v>24</v>
      </c>
      <c r="M3" s="13" t="s">
        <v>25</v>
      </c>
      <c r="N3" s="13"/>
      <c r="O3" s="13" t="str">
        <f t="shared" ref="O3:O37" si="2">K3</f>
        <v>BO_05D_RF_P5Cav_Hd1FlwRtMon</v>
      </c>
      <c r="P3" s="53" t="s">
        <v>26</v>
      </c>
      <c r="Q3" s="87"/>
    </row>
    <row r="4" spans="1:17">
      <c r="A4" s="55">
        <v>3</v>
      </c>
      <c r="B4" s="7" t="s">
        <v>162</v>
      </c>
      <c r="C4" s="8" t="s">
        <v>18</v>
      </c>
      <c r="D4" s="9" t="s">
        <v>19</v>
      </c>
      <c r="E4" s="9" t="s">
        <v>20</v>
      </c>
      <c r="F4" s="9" t="s">
        <v>159</v>
      </c>
      <c r="G4" s="9" t="s">
        <v>22</v>
      </c>
      <c r="H4" s="10" t="s">
        <v>163</v>
      </c>
      <c r="I4" s="10" t="s">
        <v>23</v>
      </c>
      <c r="J4" s="11" t="str">
        <f t="shared" si="0"/>
        <v>BO-05D:RF-P5Cav:Hd2FlwRt-Mon</v>
      </c>
      <c r="K4" s="12" t="str">
        <f t="shared" si="1"/>
        <v>BO_05D_RF_P5Cav_Hd2FlwRtMon</v>
      </c>
      <c r="L4" s="13" t="s">
        <v>24</v>
      </c>
      <c r="M4" s="13" t="s">
        <v>25</v>
      </c>
      <c r="N4" s="13"/>
      <c r="O4" s="13" t="str">
        <f t="shared" si="2"/>
        <v>BO_05D_RF_P5Cav_Hd2FlwRtMon</v>
      </c>
      <c r="P4" s="53" t="s">
        <v>26</v>
      </c>
      <c r="Q4" s="87"/>
    </row>
    <row r="5" spans="1:17">
      <c r="A5" s="55">
        <v>4</v>
      </c>
      <c r="B5" s="7" t="s">
        <v>164</v>
      </c>
      <c r="C5" s="8" t="s">
        <v>18</v>
      </c>
      <c r="D5" s="9" t="s">
        <v>19</v>
      </c>
      <c r="E5" s="9" t="s">
        <v>20</v>
      </c>
      <c r="F5" s="9" t="s">
        <v>159</v>
      </c>
      <c r="G5" s="9" t="s">
        <v>22</v>
      </c>
      <c r="H5" s="10" t="s">
        <v>165</v>
      </c>
      <c r="I5" s="10" t="s">
        <v>23</v>
      </c>
      <c r="J5" s="11" t="str">
        <f t="shared" si="0"/>
        <v>BO-05D:RF-P5Cav:Hd3FlwRt-Mon</v>
      </c>
      <c r="K5" s="12" t="str">
        <f t="shared" si="1"/>
        <v>BO_05D_RF_P5Cav_Hd3FlwRtMon</v>
      </c>
      <c r="L5" s="13" t="s">
        <v>24</v>
      </c>
      <c r="M5" s="13" t="s">
        <v>25</v>
      </c>
      <c r="N5" s="13"/>
      <c r="O5" s="13" t="str">
        <f t="shared" si="2"/>
        <v>BO_05D_RF_P5Cav_Hd3FlwRtMon</v>
      </c>
      <c r="P5" s="53" t="s">
        <v>26</v>
      </c>
      <c r="Q5" s="87"/>
    </row>
    <row r="6" spans="1:17">
      <c r="A6" s="55">
        <v>5</v>
      </c>
      <c r="B6" s="7" t="s">
        <v>166</v>
      </c>
      <c r="C6" s="8" t="s">
        <v>18</v>
      </c>
      <c r="D6" s="9" t="s">
        <v>19</v>
      </c>
      <c r="E6" s="9" t="s">
        <v>20</v>
      </c>
      <c r="F6" s="9" t="s">
        <v>159</v>
      </c>
      <c r="G6" s="9" t="s">
        <v>22</v>
      </c>
      <c r="H6" s="10" t="s">
        <v>167</v>
      </c>
      <c r="I6" s="10" t="s">
        <v>23</v>
      </c>
      <c r="J6" s="11" t="str">
        <f t="shared" si="0"/>
        <v>BO-05D:RF-P5Cav:CoupT-Mon</v>
      </c>
      <c r="K6" s="12" t="str">
        <f t="shared" si="1"/>
        <v>BO_05D_RF_P5Cav_CoupTMon</v>
      </c>
      <c r="L6" s="13" t="s">
        <v>46</v>
      </c>
      <c r="M6" s="13" t="s">
        <v>25</v>
      </c>
      <c r="N6" s="13" t="s">
        <v>97</v>
      </c>
      <c r="O6" s="13" t="str">
        <f t="shared" si="2"/>
        <v>BO_05D_RF_P5Cav_CoupTMon</v>
      </c>
      <c r="P6" s="53" t="s">
        <v>98</v>
      </c>
      <c r="Q6" s="87">
        <v>2</v>
      </c>
    </row>
    <row r="7" spans="1:17">
      <c r="A7" s="55">
        <v>6</v>
      </c>
      <c r="B7" s="7" t="s">
        <v>168</v>
      </c>
      <c r="C7" s="8" t="s">
        <v>18</v>
      </c>
      <c r="D7" s="9" t="s">
        <v>19</v>
      </c>
      <c r="E7" s="9" t="s">
        <v>20</v>
      </c>
      <c r="F7" s="9" t="s">
        <v>159</v>
      </c>
      <c r="G7" s="9" t="s">
        <v>22</v>
      </c>
      <c r="H7" s="10" t="s">
        <v>169</v>
      </c>
      <c r="I7" s="10" t="s">
        <v>23</v>
      </c>
      <c r="J7" s="11" t="str">
        <f t="shared" si="0"/>
        <v>BO-05D:RF-P5Cav:CoupTDown-Mon</v>
      </c>
      <c r="K7" s="12" t="str">
        <f t="shared" si="1"/>
        <v>BO_05D_RF_P5Cav_CoupTDownMon</v>
      </c>
      <c r="L7" s="13" t="s">
        <v>24</v>
      </c>
      <c r="M7" s="13" t="s">
        <v>25</v>
      </c>
      <c r="N7" s="13"/>
      <c r="O7" s="13" t="str">
        <f t="shared" si="2"/>
        <v>BO_05D_RF_P5Cav_CoupTDownMon</v>
      </c>
      <c r="P7" s="53" t="s">
        <v>26</v>
      </c>
      <c r="Q7" s="87"/>
    </row>
    <row r="8" spans="1:17">
      <c r="A8" s="55">
        <v>7</v>
      </c>
      <c r="B8" s="7" t="s">
        <v>170</v>
      </c>
      <c r="C8" s="8" t="s">
        <v>18</v>
      </c>
      <c r="D8" s="9" t="s">
        <v>19</v>
      </c>
      <c r="E8" s="9" t="s">
        <v>20</v>
      </c>
      <c r="F8" s="9" t="s">
        <v>159</v>
      </c>
      <c r="G8" s="9" t="s">
        <v>22</v>
      </c>
      <c r="H8" s="10" t="s">
        <v>171</v>
      </c>
      <c r="I8" s="10" t="s">
        <v>23</v>
      </c>
      <c r="J8" s="11" t="str">
        <f t="shared" si="0"/>
        <v>BO-05D:RF-P5Cav:CoupTUp-Mon</v>
      </c>
      <c r="K8" s="12" t="str">
        <f t="shared" si="1"/>
        <v>BO_05D_RF_P5Cav_CoupTUpMon</v>
      </c>
      <c r="L8" s="13" t="s">
        <v>24</v>
      </c>
      <c r="M8" s="13" t="s">
        <v>25</v>
      </c>
      <c r="N8" s="13"/>
      <c r="O8" s="13" t="str">
        <f t="shared" si="2"/>
        <v>BO_05D_RF_P5Cav_CoupTUpMon</v>
      </c>
      <c r="P8" s="53" t="s">
        <v>26</v>
      </c>
      <c r="Q8" s="87"/>
    </row>
    <row r="9" spans="1:17">
      <c r="A9" s="55">
        <v>8</v>
      </c>
      <c r="B9" s="7" t="s">
        <v>172</v>
      </c>
      <c r="C9" s="8" t="s">
        <v>18</v>
      </c>
      <c r="D9" s="9" t="s">
        <v>19</v>
      </c>
      <c r="E9" s="9" t="s">
        <v>20</v>
      </c>
      <c r="F9" s="9" t="s">
        <v>159</v>
      </c>
      <c r="G9" s="9" t="s">
        <v>22</v>
      </c>
      <c r="H9" s="10" t="s">
        <v>173</v>
      </c>
      <c r="I9" s="10" t="s">
        <v>23</v>
      </c>
      <c r="J9" s="11" t="str">
        <f t="shared" si="0"/>
        <v>BO-05D:RF-P5Cav:Cylin1T-Mon</v>
      </c>
      <c r="K9" s="12" t="str">
        <f t="shared" si="1"/>
        <v>BO_05D_RF_P5Cav_Cylin1TMon</v>
      </c>
      <c r="L9" s="13" t="s">
        <v>46</v>
      </c>
      <c r="M9" s="13" t="s">
        <v>25</v>
      </c>
      <c r="N9" s="13" t="s">
        <v>97</v>
      </c>
      <c r="O9" s="13" t="str">
        <f t="shared" si="2"/>
        <v>BO_05D_RF_P5Cav_Cylin1TMon</v>
      </c>
      <c r="P9" s="53" t="s">
        <v>98</v>
      </c>
      <c r="Q9" s="87">
        <v>2</v>
      </c>
    </row>
    <row r="10" spans="1:17">
      <c r="A10" s="55">
        <v>9</v>
      </c>
      <c r="B10" s="7" t="s">
        <v>174</v>
      </c>
      <c r="C10" s="8" t="s">
        <v>18</v>
      </c>
      <c r="D10" s="9" t="s">
        <v>19</v>
      </c>
      <c r="E10" s="9" t="s">
        <v>20</v>
      </c>
      <c r="F10" s="9" t="s">
        <v>159</v>
      </c>
      <c r="G10" s="9" t="s">
        <v>22</v>
      </c>
      <c r="H10" s="10" t="s">
        <v>175</v>
      </c>
      <c r="I10" s="10" t="s">
        <v>23</v>
      </c>
      <c r="J10" s="11" t="str">
        <f t="shared" si="0"/>
        <v>BO-05D:RF-P5Cav:Cylin2T-Mon</v>
      </c>
      <c r="K10" s="12" t="str">
        <f t="shared" si="1"/>
        <v>BO_05D_RF_P5Cav_Cylin2TMon</v>
      </c>
      <c r="L10" s="13" t="s">
        <v>46</v>
      </c>
      <c r="M10" s="13" t="s">
        <v>25</v>
      </c>
      <c r="N10" s="13" t="s">
        <v>97</v>
      </c>
      <c r="O10" s="13" t="str">
        <f t="shared" si="2"/>
        <v>BO_05D_RF_P5Cav_Cylin2TMon</v>
      </c>
      <c r="P10" s="53" t="s">
        <v>98</v>
      </c>
      <c r="Q10" s="87">
        <v>2</v>
      </c>
    </row>
    <row r="11" spans="1:17">
      <c r="A11" s="55">
        <v>10</v>
      </c>
      <c r="B11" s="7" t="s">
        <v>176</v>
      </c>
      <c r="C11" s="8" t="s">
        <v>18</v>
      </c>
      <c r="D11" s="9" t="s">
        <v>19</v>
      </c>
      <c r="E11" s="9" t="s">
        <v>20</v>
      </c>
      <c r="F11" s="9" t="s">
        <v>159</v>
      </c>
      <c r="G11" s="9" t="s">
        <v>22</v>
      </c>
      <c r="H11" s="10" t="s">
        <v>177</v>
      </c>
      <c r="I11" s="10" t="s">
        <v>23</v>
      </c>
      <c r="J11" s="11" t="str">
        <f t="shared" si="0"/>
        <v>BO-05D:RF-P5Cav:Cylin3T-Mon</v>
      </c>
      <c r="K11" s="12" t="str">
        <f t="shared" si="1"/>
        <v>BO_05D_RF_P5Cav_Cylin3TMon</v>
      </c>
      <c r="L11" s="13" t="s">
        <v>46</v>
      </c>
      <c r="M11" s="13" t="s">
        <v>25</v>
      </c>
      <c r="N11" s="13" t="s">
        <v>97</v>
      </c>
      <c r="O11" s="13" t="str">
        <f t="shared" si="2"/>
        <v>BO_05D_RF_P5Cav_Cylin3TMon</v>
      </c>
      <c r="P11" s="53" t="s">
        <v>98</v>
      </c>
      <c r="Q11" s="87">
        <v>2</v>
      </c>
    </row>
    <row r="12" spans="1:17">
      <c r="A12" s="55">
        <v>11</v>
      </c>
      <c r="B12" s="7" t="s">
        <v>178</v>
      </c>
      <c r="C12" s="8" t="s">
        <v>18</v>
      </c>
      <c r="D12" s="9" t="s">
        <v>19</v>
      </c>
      <c r="E12" s="9" t="s">
        <v>20</v>
      </c>
      <c r="F12" s="9" t="s">
        <v>159</v>
      </c>
      <c r="G12" s="9" t="s">
        <v>22</v>
      </c>
      <c r="H12" s="10" t="s">
        <v>179</v>
      </c>
      <c r="I12" s="10" t="s">
        <v>23</v>
      </c>
      <c r="J12" s="11" t="str">
        <f t="shared" si="0"/>
        <v>BO-05D:RF-P5Cav:Cylin4T-Mon</v>
      </c>
      <c r="K12" s="12" t="str">
        <f t="shared" si="1"/>
        <v>BO_05D_RF_P5Cav_Cylin4TMon</v>
      </c>
      <c r="L12" s="13" t="s">
        <v>46</v>
      </c>
      <c r="M12" s="13" t="s">
        <v>25</v>
      </c>
      <c r="N12" s="13" t="s">
        <v>97</v>
      </c>
      <c r="O12" s="13" t="str">
        <f t="shared" si="2"/>
        <v>BO_05D_RF_P5Cav_Cylin4TMon</v>
      </c>
      <c r="P12" s="53" t="s">
        <v>98</v>
      </c>
      <c r="Q12" s="87">
        <v>2</v>
      </c>
    </row>
    <row r="13" spans="1:17">
      <c r="A13" s="55">
        <v>12</v>
      </c>
      <c r="B13" s="7" t="s">
        <v>180</v>
      </c>
      <c r="C13" s="8" t="s">
        <v>18</v>
      </c>
      <c r="D13" s="9" t="s">
        <v>19</v>
      </c>
      <c r="E13" s="9" t="s">
        <v>20</v>
      </c>
      <c r="F13" s="9" t="s">
        <v>159</v>
      </c>
      <c r="G13" s="9" t="s">
        <v>22</v>
      </c>
      <c r="H13" s="10" t="s">
        <v>181</v>
      </c>
      <c r="I13" s="10" t="s">
        <v>23</v>
      </c>
      <c r="J13" s="11" t="str">
        <f t="shared" si="0"/>
        <v>BO-05D:RF-P5Cav:Cylin5T-Mon</v>
      </c>
      <c r="K13" s="12" t="str">
        <f t="shared" si="1"/>
        <v>BO_05D_RF_P5Cav_Cylin5TMon</v>
      </c>
      <c r="L13" s="13" t="s">
        <v>46</v>
      </c>
      <c r="M13" s="13" t="s">
        <v>25</v>
      </c>
      <c r="N13" s="13" t="s">
        <v>97</v>
      </c>
      <c r="O13" s="13" t="str">
        <f t="shared" si="2"/>
        <v>BO_05D_RF_P5Cav_Cylin5TMon</v>
      </c>
      <c r="P13" s="53" t="s">
        <v>98</v>
      </c>
      <c r="Q13" s="87">
        <v>2</v>
      </c>
    </row>
    <row r="14" spans="1:17">
      <c r="A14" s="55">
        <v>14</v>
      </c>
      <c r="B14" s="7" t="s">
        <v>182</v>
      </c>
      <c r="C14" s="8" t="s">
        <v>18</v>
      </c>
      <c r="D14" s="9" t="s">
        <v>19</v>
      </c>
      <c r="E14" s="9" t="s">
        <v>20</v>
      </c>
      <c r="F14" s="9" t="s">
        <v>159</v>
      </c>
      <c r="G14" s="9" t="s">
        <v>22</v>
      </c>
      <c r="H14" s="10" t="s">
        <v>183</v>
      </c>
      <c r="I14" s="10" t="s">
        <v>23</v>
      </c>
      <c r="J14" s="11" t="str">
        <f t="shared" si="0"/>
        <v>BO-05D:RF-P5Cav:Cylin1TDown-Mon</v>
      </c>
      <c r="K14" s="12" t="str">
        <f t="shared" si="1"/>
        <v>BO_05D_RF_P5Cav_Cylin1TDownMon</v>
      </c>
      <c r="L14" s="13" t="s">
        <v>24</v>
      </c>
      <c r="M14" s="13" t="s">
        <v>25</v>
      </c>
      <c r="N14" s="13"/>
      <c r="O14" s="13" t="str">
        <f t="shared" si="2"/>
        <v>BO_05D_RF_P5Cav_Cylin1TDownMon</v>
      </c>
      <c r="P14" s="53" t="s">
        <v>26</v>
      </c>
      <c r="Q14" s="87"/>
    </row>
    <row r="15" spans="1:17">
      <c r="A15" s="55">
        <v>15</v>
      </c>
      <c r="B15" s="7" t="s">
        <v>184</v>
      </c>
      <c r="C15" s="8" t="s">
        <v>18</v>
      </c>
      <c r="D15" s="9" t="s">
        <v>19</v>
      </c>
      <c r="E15" s="9" t="s">
        <v>20</v>
      </c>
      <c r="F15" s="9" t="s">
        <v>159</v>
      </c>
      <c r="G15" s="9" t="s">
        <v>22</v>
      </c>
      <c r="H15" s="10" t="s">
        <v>185</v>
      </c>
      <c r="I15" s="10" t="s">
        <v>23</v>
      </c>
      <c r="J15" s="11" t="str">
        <f t="shared" si="0"/>
        <v>BO-05D:RF-P5Cav:Cylin1TUp-Mon</v>
      </c>
      <c r="K15" s="12" t="str">
        <f t="shared" si="1"/>
        <v>BO_05D_RF_P5Cav_Cylin1TUpMon</v>
      </c>
      <c r="L15" s="13" t="s">
        <v>24</v>
      </c>
      <c r="M15" s="13" t="s">
        <v>25</v>
      </c>
      <c r="N15" s="13"/>
      <c r="O15" s="13" t="str">
        <f t="shared" si="2"/>
        <v>BO_05D_RF_P5Cav_Cylin1TUpMon</v>
      </c>
      <c r="P15" s="53" t="s">
        <v>26</v>
      </c>
      <c r="Q15" s="87"/>
    </row>
    <row r="16" spans="1:17">
      <c r="A16" s="55">
        <v>16</v>
      </c>
      <c r="B16" s="7" t="s">
        <v>186</v>
      </c>
      <c r="C16" s="8" t="s">
        <v>18</v>
      </c>
      <c r="D16" s="9" t="s">
        <v>19</v>
      </c>
      <c r="E16" s="9" t="s">
        <v>20</v>
      </c>
      <c r="F16" s="9" t="s">
        <v>159</v>
      </c>
      <c r="G16" s="9" t="s">
        <v>22</v>
      </c>
      <c r="H16" s="10" t="s">
        <v>187</v>
      </c>
      <c r="I16" s="10" t="s">
        <v>23</v>
      </c>
      <c r="J16" s="11" t="str">
        <f t="shared" si="0"/>
        <v>BO-05D:RF-P5Cav:Cylin2TDown-Mon</v>
      </c>
      <c r="K16" s="12" t="str">
        <f t="shared" si="1"/>
        <v>BO_05D_RF_P5Cav_Cylin2TDownMon</v>
      </c>
      <c r="L16" s="13" t="s">
        <v>24</v>
      </c>
      <c r="M16" s="13" t="s">
        <v>25</v>
      </c>
      <c r="N16" s="13"/>
      <c r="O16" s="13" t="str">
        <f t="shared" si="2"/>
        <v>BO_05D_RF_P5Cav_Cylin2TDownMon</v>
      </c>
      <c r="P16" s="53" t="s">
        <v>26</v>
      </c>
      <c r="Q16" s="87"/>
    </row>
    <row r="17" spans="1:17">
      <c r="A17" s="55">
        <v>17</v>
      </c>
      <c r="B17" s="7" t="s">
        <v>188</v>
      </c>
      <c r="C17" s="8" t="s">
        <v>18</v>
      </c>
      <c r="D17" s="9" t="s">
        <v>19</v>
      </c>
      <c r="E17" s="9" t="s">
        <v>20</v>
      </c>
      <c r="F17" s="9" t="s">
        <v>159</v>
      </c>
      <c r="G17" s="9" t="s">
        <v>22</v>
      </c>
      <c r="H17" s="10" t="s">
        <v>189</v>
      </c>
      <c r="I17" s="10" t="s">
        <v>23</v>
      </c>
      <c r="J17" s="11" t="str">
        <f t="shared" si="0"/>
        <v>BO-05D:RF-P5Cav:Cylin2TUp-Mon</v>
      </c>
      <c r="K17" s="12" t="str">
        <f t="shared" si="1"/>
        <v>BO_05D_RF_P5Cav_Cylin2TUpMon</v>
      </c>
      <c r="L17" s="13" t="s">
        <v>24</v>
      </c>
      <c r="M17" s="13" t="s">
        <v>25</v>
      </c>
      <c r="N17" s="13"/>
      <c r="O17" s="13" t="str">
        <f t="shared" si="2"/>
        <v>BO_05D_RF_P5Cav_Cylin2TUpMon</v>
      </c>
      <c r="P17" s="53" t="s">
        <v>26</v>
      </c>
      <c r="Q17" s="87"/>
    </row>
    <row r="18" spans="1:17">
      <c r="A18" s="55">
        <v>18</v>
      </c>
      <c r="B18" s="7" t="s">
        <v>190</v>
      </c>
      <c r="C18" s="8" t="s">
        <v>18</v>
      </c>
      <c r="D18" s="9" t="s">
        <v>19</v>
      </c>
      <c r="E18" s="9" t="s">
        <v>20</v>
      </c>
      <c r="F18" s="9" t="s">
        <v>159</v>
      </c>
      <c r="G18" s="9" t="s">
        <v>22</v>
      </c>
      <c r="H18" s="10" t="s">
        <v>191</v>
      </c>
      <c r="I18" s="10" t="s">
        <v>23</v>
      </c>
      <c r="J18" s="11" t="str">
        <f t="shared" si="0"/>
        <v>BO-05D:RF-P5Cav:Cylin3TDown-Mon</v>
      </c>
      <c r="K18" s="12" t="str">
        <f t="shared" si="1"/>
        <v>BO_05D_RF_P5Cav_Cylin3TDownMon</v>
      </c>
      <c r="L18" s="13" t="s">
        <v>24</v>
      </c>
      <c r="M18" s="13" t="s">
        <v>25</v>
      </c>
      <c r="N18" s="13"/>
      <c r="O18" s="13" t="str">
        <f t="shared" si="2"/>
        <v>BO_05D_RF_P5Cav_Cylin3TDownMon</v>
      </c>
      <c r="P18" s="53" t="s">
        <v>26</v>
      </c>
      <c r="Q18" s="87"/>
    </row>
    <row r="19" spans="1:17">
      <c r="A19" s="55">
        <v>19</v>
      </c>
      <c r="B19" s="7" t="s">
        <v>192</v>
      </c>
      <c r="C19" s="8" t="s">
        <v>18</v>
      </c>
      <c r="D19" s="9" t="s">
        <v>19</v>
      </c>
      <c r="E19" s="9" t="s">
        <v>20</v>
      </c>
      <c r="F19" s="9" t="s">
        <v>159</v>
      </c>
      <c r="G19" s="9" t="s">
        <v>22</v>
      </c>
      <c r="H19" s="10" t="s">
        <v>193</v>
      </c>
      <c r="I19" s="10" t="s">
        <v>23</v>
      </c>
      <c r="J19" s="11" t="str">
        <f t="shared" si="0"/>
        <v>BO-05D:RF-P5Cav:Cylin3TUp-Mon</v>
      </c>
      <c r="K19" s="12" t="str">
        <f t="shared" si="1"/>
        <v>BO_05D_RF_P5Cav_Cylin3TUpMon</v>
      </c>
      <c r="L19" s="13" t="s">
        <v>24</v>
      </c>
      <c r="M19" s="13" t="s">
        <v>25</v>
      </c>
      <c r="N19" s="13"/>
      <c r="O19" s="13" t="str">
        <f t="shared" si="2"/>
        <v>BO_05D_RF_P5Cav_Cylin3TUpMon</v>
      </c>
      <c r="P19" s="53" t="s">
        <v>26</v>
      </c>
      <c r="Q19" s="87"/>
    </row>
    <row r="20" spans="1:17">
      <c r="A20" s="55">
        <v>20</v>
      </c>
      <c r="B20" s="7" t="s">
        <v>194</v>
      </c>
      <c r="C20" s="8" t="s">
        <v>18</v>
      </c>
      <c r="D20" s="9" t="s">
        <v>19</v>
      </c>
      <c r="E20" s="9" t="s">
        <v>20</v>
      </c>
      <c r="F20" s="9" t="s">
        <v>159</v>
      </c>
      <c r="G20" s="9" t="s">
        <v>22</v>
      </c>
      <c r="H20" s="10" t="s">
        <v>195</v>
      </c>
      <c r="I20" s="10" t="s">
        <v>23</v>
      </c>
      <c r="J20" s="11" t="str">
        <f t="shared" si="0"/>
        <v>BO-05D:RF-P5Cav:Cylin4TDown-Mon</v>
      </c>
      <c r="K20" s="12" t="str">
        <f t="shared" si="1"/>
        <v>BO_05D_RF_P5Cav_Cylin4TDownMon</v>
      </c>
      <c r="L20" s="13" t="s">
        <v>24</v>
      </c>
      <c r="M20" s="13" t="s">
        <v>25</v>
      </c>
      <c r="N20" s="13"/>
      <c r="O20" s="13" t="str">
        <f t="shared" si="2"/>
        <v>BO_05D_RF_P5Cav_Cylin4TDownMon</v>
      </c>
      <c r="P20" s="53" t="s">
        <v>26</v>
      </c>
      <c r="Q20" s="87"/>
    </row>
    <row r="21" spans="1:17">
      <c r="A21" s="55">
        <v>21</v>
      </c>
      <c r="B21" s="7" t="s">
        <v>196</v>
      </c>
      <c r="C21" s="8" t="s">
        <v>18</v>
      </c>
      <c r="D21" s="9" t="s">
        <v>19</v>
      </c>
      <c r="E21" s="9" t="s">
        <v>20</v>
      </c>
      <c r="F21" s="9" t="s">
        <v>159</v>
      </c>
      <c r="G21" s="9" t="s">
        <v>22</v>
      </c>
      <c r="H21" s="10" t="s">
        <v>197</v>
      </c>
      <c r="I21" s="10" t="s">
        <v>23</v>
      </c>
      <c r="J21" s="11" t="str">
        <f t="shared" si="0"/>
        <v>BO-05D:RF-P5Cav:Cylin4TUp-Mon</v>
      </c>
      <c r="K21" s="12" t="str">
        <f t="shared" si="1"/>
        <v>BO_05D_RF_P5Cav_Cylin4TUpMon</v>
      </c>
      <c r="L21" s="13" t="s">
        <v>24</v>
      </c>
      <c r="M21" s="13" t="s">
        <v>25</v>
      </c>
      <c r="N21" s="13"/>
      <c r="O21" s="13" t="str">
        <f t="shared" si="2"/>
        <v>BO_05D_RF_P5Cav_Cylin4TUpMon</v>
      </c>
      <c r="P21" s="53" t="s">
        <v>26</v>
      </c>
      <c r="Q21" s="87"/>
    </row>
    <row r="22" spans="1:17">
      <c r="A22" s="55">
        <v>22</v>
      </c>
      <c r="B22" s="7" t="s">
        <v>198</v>
      </c>
      <c r="C22" s="8" t="s">
        <v>18</v>
      </c>
      <c r="D22" s="9" t="s">
        <v>19</v>
      </c>
      <c r="E22" s="9" t="s">
        <v>20</v>
      </c>
      <c r="F22" s="9" t="s">
        <v>159</v>
      </c>
      <c r="G22" s="9" t="s">
        <v>22</v>
      </c>
      <c r="H22" s="10" t="s">
        <v>199</v>
      </c>
      <c r="I22" s="10" t="s">
        <v>23</v>
      </c>
      <c r="J22" s="11" t="str">
        <f t="shared" si="0"/>
        <v>BO-05D:RF-P5Cav:Cylin5TDown-Mon</v>
      </c>
      <c r="K22" s="12" t="str">
        <f t="shared" si="1"/>
        <v>BO_05D_RF_P5Cav_Cylin5TDownMon</v>
      </c>
      <c r="L22" s="13" t="s">
        <v>24</v>
      </c>
      <c r="M22" s="13" t="s">
        <v>25</v>
      </c>
      <c r="N22" s="13"/>
      <c r="O22" s="13" t="str">
        <f t="shared" si="2"/>
        <v>BO_05D_RF_P5Cav_Cylin5TDownMon</v>
      </c>
      <c r="P22" s="53" t="s">
        <v>26</v>
      </c>
      <c r="Q22" s="87"/>
    </row>
    <row r="23" spans="1:17">
      <c r="A23" s="55">
        <v>23</v>
      </c>
      <c r="B23" s="7" t="s">
        <v>200</v>
      </c>
      <c r="C23" s="8" t="s">
        <v>18</v>
      </c>
      <c r="D23" s="9" t="s">
        <v>19</v>
      </c>
      <c r="E23" s="9" t="s">
        <v>20</v>
      </c>
      <c r="F23" s="9" t="s">
        <v>159</v>
      </c>
      <c r="G23" s="9" t="s">
        <v>22</v>
      </c>
      <c r="H23" s="10" t="s">
        <v>201</v>
      </c>
      <c r="I23" s="10" t="s">
        <v>23</v>
      </c>
      <c r="J23" s="11" t="str">
        <f t="shared" si="0"/>
        <v>BO-05D:RF-P5Cav:Cylin5TUp-Mon</v>
      </c>
      <c r="K23" s="12" t="str">
        <f t="shared" si="1"/>
        <v>BO_05D_RF_P5Cav_Cylin5TUpMon</v>
      </c>
      <c r="L23" s="13" t="s">
        <v>24</v>
      </c>
      <c r="M23" s="13" t="s">
        <v>25</v>
      </c>
      <c r="N23" s="13"/>
      <c r="O23" s="13" t="str">
        <f t="shared" si="2"/>
        <v>BO_05D_RF_P5Cav_Cylin5TUpMon</v>
      </c>
      <c r="P23" s="53" t="s">
        <v>26</v>
      </c>
      <c r="Q23" s="87"/>
    </row>
    <row r="24" spans="1:17">
      <c r="A24" s="55">
        <v>13</v>
      </c>
      <c r="B24" s="7" t="s">
        <v>202</v>
      </c>
      <c r="C24" s="8" t="s">
        <v>18</v>
      </c>
      <c r="D24" s="9" t="s">
        <v>19</v>
      </c>
      <c r="E24" s="9" t="s">
        <v>20</v>
      </c>
      <c r="F24" s="9" t="s">
        <v>159</v>
      </c>
      <c r="G24" s="9" t="s">
        <v>22</v>
      </c>
      <c r="H24" s="10" t="s">
        <v>203</v>
      </c>
      <c r="I24" s="10" t="s">
        <v>23</v>
      </c>
      <c r="J24" s="11" t="str">
        <f t="shared" si="0"/>
        <v>BO-05D:RF-P5Cav:CoupPressure-Mon</v>
      </c>
      <c r="K24" s="12" t="str">
        <f t="shared" si="1"/>
        <v>BO_05D_RF_P5Cav_CoupPressureMon</v>
      </c>
      <c r="L24" s="13" t="s">
        <v>24</v>
      </c>
      <c r="M24" s="13" t="s">
        <v>25</v>
      </c>
      <c r="N24" s="13"/>
      <c r="O24" s="13" t="str">
        <f t="shared" si="2"/>
        <v>BO_05D_RF_P5Cav_CoupPressureMon</v>
      </c>
      <c r="P24" s="53" t="s">
        <v>26</v>
      </c>
      <c r="Q24" s="87"/>
    </row>
    <row r="25" spans="1:17">
      <c r="A25" s="55">
        <v>24</v>
      </c>
      <c r="B25" s="7" t="s">
        <v>204</v>
      </c>
      <c r="C25" s="8" t="s">
        <v>18</v>
      </c>
      <c r="D25" s="9" t="s">
        <v>19</v>
      </c>
      <c r="E25" s="9" t="s">
        <v>20</v>
      </c>
      <c r="F25" s="9" t="s">
        <v>159</v>
      </c>
      <c r="G25" s="9" t="s">
        <v>22</v>
      </c>
      <c r="H25" s="10" t="s">
        <v>205</v>
      </c>
      <c r="I25" s="10" t="s">
        <v>23</v>
      </c>
      <c r="J25" s="11" t="str">
        <f t="shared" si="0"/>
        <v>BO-05D:RF-P5Cav:Cylin1Tms-Mon</v>
      </c>
      <c r="K25" s="12" t="str">
        <f t="shared" si="1"/>
        <v>BO_05D_RF_P5Cav_Cylin1TmsMon</v>
      </c>
      <c r="L25" s="13" t="s">
        <v>24</v>
      </c>
      <c r="M25" s="13" t="s">
        <v>25</v>
      </c>
      <c r="N25" s="13"/>
      <c r="O25" s="13" t="str">
        <f t="shared" si="2"/>
        <v>BO_05D_RF_P5Cav_Cylin1TmsMon</v>
      </c>
      <c r="P25" s="53" t="s">
        <v>26</v>
      </c>
      <c r="Q25" s="87"/>
    </row>
    <row r="26" spans="1:17">
      <c r="A26" s="55">
        <v>25</v>
      </c>
      <c r="B26" s="7" t="s">
        <v>206</v>
      </c>
      <c r="C26" s="8" t="s">
        <v>18</v>
      </c>
      <c r="D26" s="9" t="s">
        <v>19</v>
      </c>
      <c r="E26" s="9" t="s">
        <v>20</v>
      </c>
      <c r="F26" s="9" t="s">
        <v>159</v>
      </c>
      <c r="G26" s="9" t="s">
        <v>22</v>
      </c>
      <c r="H26" s="10" t="s">
        <v>207</v>
      </c>
      <c r="I26" s="10" t="s">
        <v>23</v>
      </c>
      <c r="J26" s="11" t="str">
        <f t="shared" si="0"/>
        <v>BO-05D:RF-P5Cav:Cylin2Tms-Mon</v>
      </c>
      <c r="K26" s="12" t="str">
        <f t="shared" si="1"/>
        <v>BO_05D_RF_P5Cav_Cylin2TmsMon</v>
      </c>
      <c r="L26" s="13" t="s">
        <v>24</v>
      </c>
      <c r="M26" s="13" t="s">
        <v>25</v>
      </c>
      <c r="N26" s="13"/>
      <c r="O26" s="13" t="str">
        <f t="shared" si="2"/>
        <v>BO_05D_RF_P5Cav_Cylin2TmsMon</v>
      </c>
      <c r="P26" s="53" t="s">
        <v>26</v>
      </c>
      <c r="Q26" s="87"/>
    </row>
    <row r="27" spans="1:17">
      <c r="A27" s="55">
        <v>26</v>
      </c>
      <c r="B27" s="7" t="s">
        <v>208</v>
      </c>
      <c r="C27" s="8" t="s">
        <v>18</v>
      </c>
      <c r="D27" s="9" t="s">
        <v>19</v>
      </c>
      <c r="E27" s="9" t="s">
        <v>20</v>
      </c>
      <c r="F27" s="9" t="s">
        <v>159</v>
      </c>
      <c r="G27" s="9" t="s">
        <v>22</v>
      </c>
      <c r="H27" s="10" t="s">
        <v>209</v>
      </c>
      <c r="I27" s="10" t="s">
        <v>23</v>
      </c>
      <c r="J27" s="11" t="str">
        <f t="shared" si="0"/>
        <v>BO-05D:RF-P5Cav:Cylin3Tms-Mon</v>
      </c>
      <c r="K27" s="12" t="str">
        <f t="shared" si="1"/>
        <v>BO_05D_RF_P5Cav_Cylin3TmsMon</v>
      </c>
      <c r="L27" s="13" t="s">
        <v>24</v>
      </c>
      <c r="M27" s="13" t="s">
        <v>25</v>
      </c>
      <c r="N27" s="13"/>
      <c r="O27" s="13" t="str">
        <f t="shared" si="2"/>
        <v>BO_05D_RF_P5Cav_Cylin3TmsMon</v>
      </c>
      <c r="P27" s="53" t="s">
        <v>26</v>
      </c>
      <c r="Q27" s="87"/>
    </row>
    <row r="28" spans="1:17">
      <c r="A28" s="55">
        <v>27</v>
      </c>
      <c r="B28" s="7" t="s">
        <v>210</v>
      </c>
      <c r="C28" s="8" t="s">
        <v>18</v>
      </c>
      <c r="D28" s="9" t="s">
        <v>19</v>
      </c>
      <c r="E28" s="9" t="s">
        <v>20</v>
      </c>
      <c r="F28" s="9" t="s">
        <v>159</v>
      </c>
      <c r="G28" s="9" t="s">
        <v>22</v>
      </c>
      <c r="H28" s="10" t="s">
        <v>211</v>
      </c>
      <c r="I28" s="10" t="s">
        <v>23</v>
      </c>
      <c r="J28" s="11" t="str">
        <f t="shared" si="0"/>
        <v>BO-05D:RF-P5Cav:Cylin4Tms-Mon</v>
      </c>
      <c r="K28" s="12" t="str">
        <f t="shared" si="1"/>
        <v>BO_05D_RF_P5Cav_Cylin4TmsMon</v>
      </c>
      <c r="L28" s="13" t="s">
        <v>24</v>
      </c>
      <c r="M28" s="13" t="s">
        <v>25</v>
      </c>
      <c r="N28" s="13"/>
      <c r="O28" s="13" t="str">
        <f t="shared" si="2"/>
        <v>BO_05D_RF_P5Cav_Cylin4TmsMon</v>
      </c>
      <c r="P28" s="53" t="s">
        <v>26</v>
      </c>
      <c r="Q28" s="87"/>
    </row>
    <row r="29" spans="1:17">
      <c r="A29" s="55">
        <v>28</v>
      </c>
      <c r="B29" s="7" t="s">
        <v>212</v>
      </c>
      <c r="C29" s="8" t="s">
        <v>18</v>
      </c>
      <c r="D29" s="9" t="s">
        <v>19</v>
      </c>
      <c r="E29" s="9" t="s">
        <v>20</v>
      </c>
      <c r="F29" s="9" t="s">
        <v>159</v>
      </c>
      <c r="G29" s="9" t="s">
        <v>22</v>
      </c>
      <c r="H29" s="10" t="s">
        <v>213</v>
      </c>
      <c r="I29" s="10" t="s">
        <v>23</v>
      </c>
      <c r="J29" s="11" t="str">
        <f t="shared" si="0"/>
        <v>BO-05D:RF-P5Cav:Cylin5Tms-Mon</v>
      </c>
      <c r="K29" s="12" t="str">
        <f t="shared" si="1"/>
        <v>BO_05D_RF_P5Cav_Cylin5TmsMon</v>
      </c>
      <c r="L29" s="13" t="s">
        <v>24</v>
      </c>
      <c r="M29" s="13" t="s">
        <v>25</v>
      </c>
      <c r="N29" s="13"/>
      <c r="O29" s="13" t="str">
        <f t="shared" si="2"/>
        <v>BO_05D_RF_P5Cav_Cylin5TmsMon</v>
      </c>
      <c r="P29" s="53" t="s">
        <v>26</v>
      </c>
      <c r="Q29" s="87"/>
    </row>
    <row r="30" spans="1:17">
      <c r="A30" s="55">
        <v>29</v>
      </c>
      <c r="B30" s="7" t="s">
        <v>214</v>
      </c>
      <c r="C30" s="8" t="s">
        <v>18</v>
      </c>
      <c r="D30" s="9" t="s">
        <v>19</v>
      </c>
      <c r="E30" s="9" t="s">
        <v>20</v>
      </c>
      <c r="F30" s="9" t="s">
        <v>159</v>
      </c>
      <c r="G30" s="9" t="s">
        <v>22</v>
      </c>
      <c r="H30" s="10" t="s">
        <v>215</v>
      </c>
      <c r="I30" s="10" t="s">
        <v>23</v>
      </c>
      <c r="J30" s="11" t="str">
        <f t="shared" si="0"/>
        <v>BO-05D:RF-P5Cav:Disc1Tms-Mon</v>
      </c>
      <c r="K30" s="12" t="str">
        <f t="shared" si="1"/>
        <v>BO_05D_RF_P5Cav_Disc1TmsMon</v>
      </c>
      <c r="L30" s="13" t="s">
        <v>24</v>
      </c>
      <c r="M30" s="13" t="s">
        <v>25</v>
      </c>
      <c r="N30" s="13"/>
      <c r="O30" s="13" t="str">
        <f t="shared" si="2"/>
        <v>BO_05D_RF_P5Cav_Disc1TmsMon</v>
      </c>
      <c r="P30" s="53" t="s">
        <v>26</v>
      </c>
      <c r="Q30" s="87"/>
    </row>
    <row r="31" spans="1:17">
      <c r="A31" s="55">
        <v>30</v>
      </c>
      <c r="B31" s="7" t="s">
        <v>216</v>
      </c>
      <c r="C31" s="8" t="s">
        <v>18</v>
      </c>
      <c r="D31" s="9" t="s">
        <v>19</v>
      </c>
      <c r="E31" s="9" t="s">
        <v>20</v>
      </c>
      <c r="F31" s="9" t="s">
        <v>159</v>
      </c>
      <c r="G31" s="9" t="s">
        <v>22</v>
      </c>
      <c r="H31" s="10" t="s">
        <v>217</v>
      </c>
      <c r="I31" s="10" t="s">
        <v>23</v>
      </c>
      <c r="J31" s="11" t="str">
        <f t="shared" si="0"/>
        <v>BO-05D:RF-P5Cav:Disc2Tms-Mon</v>
      </c>
      <c r="K31" s="12" t="str">
        <f t="shared" si="1"/>
        <v>BO_05D_RF_P5Cav_Disc2TmsMon</v>
      </c>
      <c r="L31" s="13" t="s">
        <v>24</v>
      </c>
      <c r="M31" s="13" t="s">
        <v>25</v>
      </c>
      <c r="N31" s="13"/>
      <c r="O31" s="13" t="str">
        <f t="shared" si="2"/>
        <v>BO_05D_RF_P5Cav_Disc2TmsMon</v>
      </c>
      <c r="P31" s="53" t="s">
        <v>26</v>
      </c>
      <c r="Q31" s="87"/>
    </row>
    <row r="32" spans="1:17">
      <c r="A32" s="55">
        <v>31</v>
      </c>
      <c r="B32" s="7" t="s">
        <v>218</v>
      </c>
      <c r="C32" s="8" t="s">
        <v>18</v>
      </c>
      <c r="D32" s="9" t="s">
        <v>19</v>
      </c>
      <c r="E32" s="9" t="s">
        <v>20</v>
      </c>
      <c r="F32" s="9" t="s">
        <v>159</v>
      </c>
      <c r="G32" s="9" t="s">
        <v>22</v>
      </c>
      <c r="H32" s="10" t="s">
        <v>219</v>
      </c>
      <c r="I32" s="10" t="s">
        <v>23</v>
      </c>
      <c r="J32" s="11" t="str">
        <f t="shared" si="0"/>
        <v>BO-05D:RF-P5Cav:Disc3Tms-Mon</v>
      </c>
      <c r="K32" s="12" t="str">
        <f t="shared" si="1"/>
        <v>BO_05D_RF_P5Cav_Disc3TmsMon</v>
      </c>
      <c r="L32" s="13" t="s">
        <v>24</v>
      </c>
      <c r="M32" s="13" t="s">
        <v>25</v>
      </c>
      <c r="N32" s="13"/>
      <c r="O32" s="13" t="str">
        <f t="shared" si="2"/>
        <v>BO_05D_RF_P5Cav_Disc3TmsMon</v>
      </c>
      <c r="P32" s="53" t="s">
        <v>26</v>
      </c>
      <c r="Q32" s="87"/>
    </row>
    <row r="33" spans="1:17">
      <c r="A33" s="55">
        <v>32</v>
      </c>
      <c r="B33" s="7" t="s">
        <v>220</v>
      </c>
      <c r="C33" s="8" t="s">
        <v>18</v>
      </c>
      <c r="D33" s="9" t="s">
        <v>19</v>
      </c>
      <c r="E33" s="9" t="s">
        <v>20</v>
      </c>
      <c r="F33" s="9" t="s">
        <v>159</v>
      </c>
      <c r="G33" s="9" t="s">
        <v>22</v>
      </c>
      <c r="H33" s="10" t="s">
        <v>221</v>
      </c>
      <c r="I33" s="10" t="s">
        <v>23</v>
      </c>
      <c r="J33" s="11" t="str">
        <f t="shared" si="0"/>
        <v>BO-05D:RF-P5Cav:Disc4Tms-Mon</v>
      </c>
      <c r="K33" s="12" t="str">
        <f t="shared" si="1"/>
        <v>BO_05D_RF_P5Cav_Disc4TmsMon</v>
      </c>
      <c r="L33" s="13" t="s">
        <v>24</v>
      </c>
      <c r="M33" s="13" t="s">
        <v>25</v>
      </c>
      <c r="N33" s="13"/>
      <c r="O33" s="13" t="str">
        <f t="shared" si="2"/>
        <v>BO_05D_RF_P5Cav_Disc4TmsMon</v>
      </c>
      <c r="P33" s="53" t="s">
        <v>26</v>
      </c>
      <c r="Q33" s="87"/>
    </row>
    <row r="34" spans="1:17">
      <c r="A34" s="55">
        <v>33</v>
      </c>
      <c r="B34" s="7" t="s">
        <v>222</v>
      </c>
      <c r="C34" s="8" t="s">
        <v>18</v>
      </c>
      <c r="D34" s="9" t="s">
        <v>19</v>
      </c>
      <c r="E34" s="9" t="s">
        <v>20</v>
      </c>
      <c r="F34" s="9" t="s">
        <v>159</v>
      </c>
      <c r="G34" s="9" t="s">
        <v>22</v>
      </c>
      <c r="H34" s="10" t="s">
        <v>223</v>
      </c>
      <c r="I34" s="10" t="s">
        <v>23</v>
      </c>
      <c r="J34" s="11" t="str">
        <f t="shared" si="0"/>
        <v>BO-05D:RF-P5Cav:Disc5Tms-Mon</v>
      </c>
      <c r="K34" s="12" t="str">
        <f t="shared" si="1"/>
        <v>BO_05D_RF_P5Cav_Disc5TmsMon</v>
      </c>
      <c r="L34" s="13" t="s">
        <v>24</v>
      </c>
      <c r="M34" s="13" t="s">
        <v>25</v>
      </c>
      <c r="N34" s="13"/>
      <c r="O34" s="13" t="str">
        <f t="shared" si="2"/>
        <v>BO_05D_RF_P5Cav_Disc5TmsMon</v>
      </c>
      <c r="P34" s="53" t="s">
        <v>26</v>
      </c>
      <c r="Q34" s="87"/>
    </row>
    <row r="35" spans="1:17">
      <c r="A35" s="55">
        <v>34</v>
      </c>
      <c r="B35" s="7" t="s">
        <v>224</v>
      </c>
      <c r="C35" s="8" t="s">
        <v>18</v>
      </c>
      <c r="D35" s="9" t="s">
        <v>19</v>
      </c>
      <c r="E35" s="9" t="s">
        <v>20</v>
      </c>
      <c r="F35" s="9" t="s">
        <v>159</v>
      </c>
      <c r="G35" s="9" t="s">
        <v>22</v>
      </c>
      <c r="H35" s="10" t="s">
        <v>225</v>
      </c>
      <c r="I35" s="10" t="s">
        <v>23</v>
      </c>
      <c r="J35" s="11" t="str">
        <f t="shared" si="0"/>
        <v>BO-05D:RF-P5Cav:Disc6Tms-Mon</v>
      </c>
      <c r="K35" s="12" t="str">
        <f t="shared" si="1"/>
        <v>BO_05D_RF_P5Cav_Disc6TmsMon</v>
      </c>
      <c r="L35" s="13" t="s">
        <v>24</v>
      </c>
      <c r="M35" s="13" t="s">
        <v>25</v>
      </c>
      <c r="N35" s="13"/>
      <c r="O35" s="13" t="str">
        <f t="shared" si="2"/>
        <v>BO_05D_RF_P5Cav_Disc6TmsMon</v>
      </c>
      <c r="P35" s="53" t="s">
        <v>26</v>
      </c>
      <c r="Q35" s="87"/>
    </row>
    <row r="36" spans="1:17">
      <c r="A36" s="55">
        <v>35</v>
      </c>
      <c r="B36" s="7" t="s">
        <v>226</v>
      </c>
      <c r="C36" s="8" t="s">
        <v>18</v>
      </c>
      <c r="D36" s="9" t="s">
        <v>19</v>
      </c>
      <c r="E36" s="9" t="s">
        <v>20</v>
      </c>
      <c r="F36" s="9" t="s">
        <v>159</v>
      </c>
      <c r="G36" s="9" t="s">
        <v>22</v>
      </c>
      <c r="H36" s="10" t="s">
        <v>227</v>
      </c>
      <c r="I36" s="10" t="s">
        <v>23</v>
      </c>
      <c r="J36" s="11" t="str">
        <f t="shared" si="0"/>
        <v>BO-05D:RF-P5Cav:Pressure-Mon</v>
      </c>
      <c r="K36" s="12" t="str">
        <f t="shared" si="1"/>
        <v>BO_05D_RF_P5Cav_PressureMon</v>
      </c>
      <c r="L36" s="13" t="s">
        <v>24</v>
      </c>
      <c r="M36" s="13" t="s">
        <v>25</v>
      </c>
      <c r="N36" s="13"/>
      <c r="O36" s="13" t="str">
        <f t="shared" si="2"/>
        <v>BO_05D_RF_P5Cav_PressureMon</v>
      </c>
      <c r="P36" s="53" t="s">
        <v>26</v>
      </c>
      <c r="Q36" s="87"/>
    </row>
    <row r="37" spans="1:17">
      <c r="A37" s="68">
        <v>36</v>
      </c>
      <c r="B37" s="69" t="s">
        <v>228</v>
      </c>
      <c r="C37" s="70" t="s">
        <v>18</v>
      </c>
      <c r="D37" s="71" t="s">
        <v>19</v>
      </c>
      <c r="E37" s="71" t="s">
        <v>20</v>
      </c>
      <c r="F37" s="71" t="s">
        <v>159</v>
      </c>
      <c r="G37" s="71" t="s">
        <v>22</v>
      </c>
      <c r="H37" s="72" t="s">
        <v>229</v>
      </c>
      <c r="I37" s="72" t="s">
        <v>23</v>
      </c>
      <c r="J37" s="73" t="str">
        <f t="shared" si="0"/>
        <v>BO-05D:RF-P5Cav:PwrRFIntlk-Mon</v>
      </c>
      <c r="K37" s="74" t="str">
        <f t="shared" si="1"/>
        <v>BO_05D_RF_P5Cav_PwrRFIntlkMon</v>
      </c>
      <c r="L37" s="75" t="s">
        <v>46</v>
      </c>
      <c r="M37" s="75" t="s">
        <v>25</v>
      </c>
      <c r="N37" s="75" t="s">
        <v>230</v>
      </c>
      <c r="O37" s="75" t="str">
        <f t="shared" si="2"/>
        <v>BO_05D_RF_P5Cav_PwrRFIntlkMon</v>
      </c>
      <c r="P37" s="88" t="s">
        <v>26</v>
      </c>
      <c r="Q37" s="89">
        <v>4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ADEDC2238D1B459B3876E2C2E99497" ma:contentTypeVersion="10" ma:contentTypeDescription="Crie um novo documento." ma:contentTypeScope="" ma:versionID="8821d25fb4d4f3093c9b09eeeff6da6b">
  <xsd:schema xmlns:xsd="http://www.w3.org/2001/XMLSchema" xmlns:xs="http://www.w3.org/2001/XMLSchema" xmlns:p="http://schemas.microsoft.com/office/2006/metadata/properties" xmlns:ns2="40443515-7982-453e-8cc3-61a478897d4d" xmlns:ns3="32dc2326-b69f-4ff3-bc41-ce299fdac243" targetNamespace="http://schemas.microsoft.com/office/2006/metadata/properties" ma:root="true" ma:fieldsID="317a69665020f230c807c3c98b4b1e01" ns2:_="" ns3:_="">
    <xsd:import namespace="40443515-7982-453e-8cc3-61a478897d4d"/>
    <xsd:import namespace="32dc2326-b69f-4ff3-bc41-ce299fdac2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43515-7982-453e-8cc3-61a478897d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c2326-b69f-4ff3-bc41-ce299fdac2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0443515-7982-453e-8cc3-61a478897d4d">
      <UserInfo>
        <DisplayName>Claudio Ferreira Carneiro</DisplayName>
        <AccountId>48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AC9C9A-757C-4796-ABA7-D606D5B619BA}"/>
</file>

<file path=customXml/itemProps2.xml><?xml version="1.0" encoding="utf-8"?>
<ds:datastoreItem xmlns:ds="http://schemas.openxmlformats.org/officeDocument/2006/customXml" ds:itemID="{813B4F1D-6C0A-4BF0-A4A1-DF8E596259AD}"/>
</file>

<file path=customXml/itemProps3.xml><?xml version="1.0" encoding="utf-8"?>
<ds:datastoreItem xmlns:ds="http://schemas.openxmlformats.org/officeDocument/2006/customXml" ds:itemID="{6A178A6D-B2A5-4562-B3CC-AAC941779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Ranieri Ramires do Canto Santos</dc:creator>
  <cp:keywords/>
  <dc:description/>
  <cp:lastModifiedBy/>
  <cp:revision/>
  <dcterms:created xsi:type="dcterms:W3CDTF">2020-08-13T11:19:38Z</dcterms:created>
  <dcterms:modified xsi:type="dcterms:W3CDTF">2020-08-19T19:53:03Z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0x0101001FADEDC2238D1B459B3876E2C2E99497</vt:lpwstr>
  </property>
</Properties>
</file>